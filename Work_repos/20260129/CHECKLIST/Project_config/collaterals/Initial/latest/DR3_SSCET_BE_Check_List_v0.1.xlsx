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8_{CFD67D86-926E-4ED6-A911-F1B0B9F5DEC8}" xr6:coauthVersionLast="47" xr6:coauthVersionMax="47" xr10:uidLastSave="{00000000-0000-0000-0000-000000000000}"/>
  <bookViews>
    <workbookView xWindow="22932" yWindow="-4284" windowWidth="30936" windowHeight="16776" tabRatio="806" xr2:uid="{00000000-000D-0000-FFFF-FFFF00000000}"/>
  </bookViews>
  <sheets>
    <sheet name="BE_check" sheetId="29" r:id="rId1"/>
    <sheet name="Release_Check" sheetId="31" r:id="rId2"/>
    <sheet name="Waiver" sheetId="35" r:id="rId3"/>
    <sheet name="EMIR_results" sheetId="39" r:id="rId4"/>
    <sheet name="Metrics" sheetId="36" r:id="rId5"/>
  </sheets>
  <definedNames>
    <definedName name="_xlnm._FilterDatabase" localSheetId="0" hidden="1">BE_check!$G$114:$I$135</definedName>
    <definedName name="_xlnm._FilterDatabase" localSheetId="4" hidden="1">Metrics!#REF!</definedName>
    <definedName name="_xlnm._FilterDatabase" localSheetId="1" hidden="1">Release_Check!$G$19:$I$27</definedName>
    <definedName name="_xlnm._FilterDatabase" localSheetId="2" hidden="1">Waiver!#REF!</definedName>
    <definedName name="Bcc">#REF!</definedName>
    <definedName name="Cc">#REF!</definedName>
    <definedName name="Confirmations">#REF!</definedName>
    <definedName name="FirstSheet">#REF!</definedName>
    <definedName name="IncSheets">#REF!</definedName>
    <definedName name="ListSheets">#REF!</definedName>
    <definedName name="Name">#REF!</definedName>
    <definedName name="Phases">#REF!</definedName>
    <definedName name="Protect?">#REF!</definedName>
    <definedName name="ProtectInvoices">#REF!</definedName>
    <definedName name="PsWd">#REF!</definedName>
    <definedName name="ReportDate">#REF!</definedName>
    <definedName name="Subject">#REF!</definedName>
    <definedName name="T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2" i="31" l="1"/>
  <c r="B62" i="31"/>
  <c r="A62" i="31"/>
  <c r="A419" i="29"/>
  <c r="B419" i="29"/>
  <c r="C419" i="29"/>
  <c r="A420" i="29"/>
  <c r="B420" i="29"/>
  <c r="C420" i="29"/>
  <c r="A421" i="29"/>
  <c r="B421" i="29"/>
  <c r="C421" i="29"/>
  <c r="A422" i="29"/>
  <c r="B422" i="29"/>
  <c r="C422" i="29"/>
  <c r="A423" i="29"/>
  <c r="B423" i="29"/>
  <c r="C423" i="29"/>
  <c r="A424" i="29"/>
  <c r="B424" i="29"/>
  <c r="C424" i="29"/>
  <c r="C457" i="29"/>
  <c r="B457" i="29"/>
  <c r="A457" i="29"/>
  <c r="C471" i="29"/>
  <c r="B471" i="29"/>
  <c r="A471" i="29"/>
  <c r="C470" i="29"/>
  <c r="B470" i="29"/>
  <c r="A470" i="29"/>
  <c r="C469" i="29"/>
  <c r="B469" i="29"/>
  <c r="A469" i="29"/>
  <c r="C468" i="29"/>
  <c r="B468" i="29"/>
  <c r="A468" i="29"/>
  <c r="C467" i="29"/>
  <c r="B467" i="29"/>
  <c r="A467" i="29"/>
  <c r="C466" i="29"/>
  <c r="B466" i="29"/>
  <c r="A466" i="29"/>
  <c r="C365" i="29"/>
  <c r="B365" i="29"/>
  <c r="A365" i="29"/>
  <c r="C364" i="29"/>
  <c r="B364" i="29"/>
  <c r="A364" i="29"/>
  <c r="C363" i="29"/>
  <c r="B363" i="29"/>
  <c r="A363" i="29"/>
  <c r="C362" i="29"/>
  <c r="B362" i="29"/>
  <c r="A362" i="29"/>
  <c r="C361" i="29"/>
  <c r="B361" i="29"/>
  <c r="A361" i="29"/>
  <c r="C360" i="29"/>
  <c r="B360" i="29"/>
  <c r="A360" i="29"/>
  <c r="C316" i="29"/>
  <c r="B316" i="29"/>
  <c r="A316" i="29"/>
  <c r="C315" i="29"/>
  <c r="B315" i="29"/>
  <c r="A315" i="29"/>
  <c r="C359" i="29"/>
  <c r="B359" i="29"/>
  <c r="A359" i="29"/>
  <c r="C311" i="29"/>
  <c r="B311" i="29"/>
  <c r="A311" i="29"/>
  <c r="C310" i="29"/>
  <c r="B310" i="29"/>
  <c r="A310" i="29"/>
  <c r="C309" i="29"/>
  <c r="B309" i="29"/>
  <c r="A309" i="29"/>
  <c r="C240" i="29"/>
  <c r="B240" i="29"/>
  <c r="A240" i="29"/>
  <c r="C273" i="29"/>
  <c r="B273" i="29"/>
  <c r="A273" i="29"/>
  <c r="C308" i="29"/>
  <c r="B308" i="29"/>
  <c r="A308" i="29"/>
  <c r="C307" i="29"/>
  <c r="B307" i="29"/>
  <c r="A307" i="29"/>
  <c r="C260" i="29"/>
  <c r="B260" i="29"/>
  <c r="A260" i="29"/>
  <c r="C259" i="29"/>
  <c r="B259" i="29"/>
  <c r="A259" i="29"/>
  <c r="C258" i="29"/>
  <c r="B258" i="29"/>
  <c r="A258" i="29"/>
  <c r="C257" i="29"/>
  <c r="B257" i="29"/>
  <c r="A257" i="29"/>
  <c r="C256" i="29"/>
  <c r="B256" i="29"/>
  <c r="A256" i="29"/>
  <c r="C239" i="29"/>
  <c r="B239" i="29"/>
  <c r="A239" i="29"/>
  <c r="C238" i="29"/>
  <c r="B238" i="29"/>
  <c r="A238" i="29"/>
  <c r="C237" i="29"/>
  <c r="B237" i="29"/>
  <c r="A237" i="29"/>
  <c r="C404" i="29"/>
  <c r="B404" i="29"/>
  <c r="A404" i="29"/>
  <c r="C403" i="29"/>
  <c r="B403" i="29"/>
  <c r="A403" i="29"/>
  <c r="C236" i="29"/>
  <c r="B236" i="29"/>
  <c r="A236" i="29"/>
  <c r="C235" i="29"/>
  <c r="B235" i="29"/>
  <c r="A235" i="29"/>
  <c r="C127" i="29"/>
  <c r="B127" i="29"/>
  <c r="A127" i="29"/>
  <c r="C126" i="29"/>
  <c r="B126" i="29"/>
  <c r="A126" i="29"/>
  <c r="C122" i="29"/>
  <c r="B122" i="29"/>
  <c r="A122" i="29"/>
  <c r="C121" i="29"/>
  <c r="B121" i="29"/>
  <c r="A121" i="29"/>
  <c r="C161" i="31" l="1"/>
  <c r="B161" i="31"/>
  <c r="A161" i="31"/>
  <c r="C160" i="31"/>
  <c r="B160" i="31"/>
  <c r="A160" i="31"/>
  <c r="C136" i="31"/>
  <c r="B136" i="31"/>
  <c r="A136" i="31"/>
  <c r="C135" i="31"/>
  <c r="B135" i="31"/>
  <c r="A135" i="31"/>
  <c r="C134" i="31"/>
  <c r="B134" i="31"/>
  <c r="A134" i="31"/>
  <c r="C133" i="31"/>
  <c r="B133" i="31"/>
  <c r="A133" i="31"/>
  <c r="C132" i="31"/>
  <c r="B132" i="31"/>
  <c r="A132" i="31"/>
  <c r="C131" i="31"/>
  <c r="B131" i="31"/>
  <c r="A131" i="31"/>
  <c r="C130" i="31"/>
  <c r="B130" i="31"/>
  <c r="A130" i="31"/>
  <c r="C129" i="31"/>
  <c r="B129" i="31"/>
  <c r="A129" i="31"/>
  <c r="C128" i="31"/>
  <c r="B128" i="31"/>
  <c r="A128" i="31"/>
  <c r="C127" i="31"/>
  <c r="B127" i="31"/>
  <c r="A127" i="31"/>
  <c r="C98" i="31"/>
  <c r="B98" i="31"/>
  <c r="A98" i="31"/>
  <c r="C97" i="31"/>
  <c r="B97" i="31"/>
  <c r="A97" i="31"/>
  <c r="C96" i="31"/>
  <c r="B96" i="31"/>
  <c r="A96" i="31"/>
  <c r="C400" i="29" l="1"/>
  <c r="B400" i="29"/>
  <c r="A400" i="29"/>
  <c r="C399" i="29"/>
  <c r="B399" i="29"/>
  <c r="A399" i="29"/>
  <c r="C86" i="31" l="1"/>
  <c r="B86" i="31"/>
  <c r="A86" i="31"/>
  <c r="C104" i="31"/>
  <c r="B104" i="31"/>
  <c r="A104" i="31"/>
  <c r="C355" i="29" l="1"/>
  <c r="B355" i="29"/>
  <c r="A355" i="29"/>
  <c r="C462" i="29"/>
  <c r="B462" i="29"/>
  <c r="A462" i="29"/>
  <c r="C461" i="29"/>
  <c r="B461" i="29"/>
  <c r="A461" i="29"/>
  <c r="C396" i="29"/>
  <c r="B396" i="29"/>
  <c r="A396" i="29"/>
  <c r="C389" i="29"/>
  <c r="B389" i="29"/>
  <c r="A389" i="29"/>
  <c r="C388" i="29"/>
  <c r="B388" i="29"/>
  <c r="A388" i="29"/>
  <c r="C90" i="29"/>
  <c r="B90" i="29"/>
  <c r="A90" i="29"/>
  <c r="C89" i="29"/>
  <c r="B89" i="29"/>
  <c r="A89" i="29"/>
  <c r="C88" i="29"/>
  <c r="B88" i="29"/>
  <c r="A88" i="29"/>
  <c r="C87" i="29"/>
  <c r="B87" i="29"/>
  <c r="A87" i="29"/>
  <c r="C86" i="29"/>
  <c r="B86" i="29"/>
  <c r="A86" i="29"/>
  <c r="C85" i="29"/>
  <c r="B85" i="29"/>
  <c r="A85" i="29"/>
  <c r="C303" i="29"/>
  <c r="B303" i="29"/>
  <c r="A303" i="29"/>
  <c r="C282" i="29"/>
  <c r="B282" i="29"/>
  <c r="A282" i="29"/>
  <c r="C271" i="29"/>
  <c r="B271" i="29"/>
  <c r="A271" i="29"/>
  <c r="C270" i="29"/>
  <c r="B270" i="29"/>
  <c r="A270" i="29"/>
  <c r="C281" i="29"/>
  <c r="B281" i="29"/>
  <c r="A281" i="29"/>
  <c r="C280" i="29"/>
  <c r="B280" i="29"/>
  <c r="A280" i="29"/>
  <c r="C302" i="29"/>
  <c r="B302" i="29"/>
  <c r="A302" i="29"/>
  <c r="C301" i="29"/>
  <c r="B301" i="29"/>
  <c r="A301" i="29"/>
  <c r="C300" i="29"/>
  <c r="B300" i="29"/>
  <c r="A300" i="29"/>
  <c r="C453" i="29" l="1"/>
  <c r="B453" i="29"/>
  <c r="A453" i="29"/>
  <c r="C452" i="29"/>
  <c r="B452" i="29"/>
  <c r="A452" i="29"/>
  <c r="C451" i="29"/>
  <c r="B451" i="29"/>
  <c r="A451" i="29"/>
  <c r="C450" i="29"/>
  <c r="B450" i="29"/>
  <c r="A450" i="29"/>
  <c r="C449" i="29"/>
  <c r="B449" i="29"/>
  <c r="A449" i="29"/>
  <c r="C48" i="29"/>
  <c r="B48" i="29"/>
  <c r="A48" i="29"/>
  <c r="C46" i="29"/>
  <c r="B46" i="29"/>
  <c r="A46" i="29"/>
  <c r="C370" i="29"/>
  <c r="B370" i="29"/>
  <c r="A370" i="29"/>
  <c r="C44" i="29"/>
  <c r="B44" i="29"/>
  <c r="A44" i="29"/>
  <c r="C42" i="29"/>
  <c r="B42" i="29"/>
  <c r="A42" i="29"/>
  <c r="C279" i="29"/>
  <c r="B279" i="29"/>
  <c r="A279" i="29"/>
  <c r="C278" i="29"/>
  <c r="B278" i="29"/>
  <c r="A278" i="29"/>
  <c r="C318" i="29"/>
  <c r="B318" i="29"/>
  <c r="A318" i="29"/>
  <c r="C111" i="29"/>
  <c r="B111" i="29"/>
  <c r="A111" i="29"/>
  <c r="C415" i="29"/>
  <c r="B415" i="29"/>
  <c r="A415" i="29"/>
  <c r="C414" i="29"/>
  <c r="B414" i="29"/>
  <c r="A414" i="29"/>
  <c r="C413" i="29"/>
  <c r="B413" i="29"/>
  <c r="A413" i="29"/>
  <c r="C425" i="29" l="1"/>
  <c r="B425" i="29"/>
  <c r="A425" i="29"/>
  <c r="C164" i="29"/>
  <c r="B164" i="29"/>
  <c r="A164" i="29"/>
  <c r="C163" i="29"/>
  <c r="B163" i="29"/>
  <c r="A163" i="29"/>
  <c r="C162" i="29"/>
  <c r="B162" i="29"/>
  <c r="A162" i="29"/>
  <c r="C153" i="29"/>
  <c r="B153" i="29"/>
  <c r="A153" i="29"/>
  <c r="C152" i="29"/>
  <c r="B152" i="29"/>
  <c r="A152" i="29"/>
  <c r="C231" i="29"/>
  <c r="B231" i="29"/>
  <c r="A231" i="29"/>
  <c r="C342" i="29"/>
  <c r="B342" i="29"/>
  <c r="A342" i="29"/>
  <c r="C230" i="29"/>
  <c r="B230" i="29"/>
  <c r="A230" i="29"/>
  <c r="C229" i="29"/>
  <c r="B229" i="29"/>
  <c r="A229" i="29"/>
  <c r="C151" i="29"/>
  <c r="B151" i="29"/>
  <c r="A151" i="29"/>
  <c r="C277" i="29"/>
  <c r="B277" i="29"/>
  <c r="A277" i="29"/>
  <c r="C150" i="29"/>
  <c r="B150" i="29"/>
  <c r="A150" i="29"/>
  <c r="C228" i="29"/>
  <c r="B228" i="29"/>
  <c r="A228" i="29"/>
  <c r="C227" i="29"/>
  <c r="B227" i="29"/>
  <c r="A227" i="29"/>
  <c r="C149" i="29"/>
  <c r="B149" i="29"/>
  <c r="A149" i="29"/>
  <c r="C148" i="29"/>
  <c r="B148" i="29"/>
  <c r="A148" i="29"/>
  <c r="C147" i="29"/>
  <c r="B147" i="29"/>
  <c r="A147" i="29"/>
  <c r="C146" i="29" l="1"/>
  <c r="B146" i="29"/>
  <c r="A146" i="29"/>
  <c r="C110" i="29"/>
  <c r="B110" i="29"/>
  <c r="A110" i="29"/>
  <c r="C109" i="29"/>
  <c r="B109" i="29"/>
  <c r="A109" i="29"/>
  <c r="C108" i="29"/>
  <c r="B108" i="29"/>
  <c r="A108" i="29"/>
  <c r="C107" i="29"/>
  <c r="B107" i="29"/>
  <c r="A107" i="29"/>
  <c r="C106" i="29"/>
  <c r="B106" i="29"/>
  <c r="A106" i="29"/>
  <c r="C105" i="29"/>
  <c r="B105" i="29"/>
  <c r="A105" i="29"/>
  <c r="C104" i="29"/>
  <c r="B104" i="29"/>
  <c r="A104" i="29"/>
  <c r="C33" i="29"/>
  <c r="B33" i="29"/>
  <c r="A33" i="29"/>
  <c r="C100" i="29"/>
  <c r="B100" i="29"/>
  <c r="A100" i="29"/>
  <c r="C99" i="29"/>
  <c r="B99" i="29"/>
  <c r="A99" i="29"/>
  <c r="C98" i="29"/>
  <c r="B98" i="29"/>
  <c r="A98" i="29"/>
  <c r="C97" i="29"/>
  <c r="B97" i="29"/>
  <c r="A97" i="29"/>
  <c r="C96" i="29"/>
  <c r="B96" i="29"/>
  <c r="A96" i="29"/>
  <c r="C95" i="29"/>
  <c r="B95" i="29"/>
  <c r="A95" i="29"/>
  <c r="C94" i="29"/>
  <c r="B94" i="29"/>
  <c r="A94" i="29"/>
  <c r="C93" i="29"/>
  <c r="B93" i="29"/>
  <c r="A93" i="29"/>
  <c r="C92" i="29"/>
  <c r="B92" i="29"/>
  <c r="A92" i="29"/>
  <c r="C91" i="29"/>
  <c r="B91" i="29"/>
  <c r="A91" i="29"/>
  <c r="C84" i="29"/>
  <c r="B84" i="29"/>
  <c r="A84" i="29"/>
  <c r="C83" i="29"/>
  <c r="B83" i="29"/>
  <c r="A83" i="29"/>
  <c r="C82" i="29"/>
  <c r="B82" i="29"/>
  <c r="A82" i="29"/>
  <c r="C81" i="29"/>
  <c r="B81" i="29"/>
  <c r="A81" i="29"/>
  <c r="C77" i="29"/>
  <c r="B77" i="29"/>
  <c r="A77" i="29"/>
  <c r="C76" i="29"/>
  <c r="B76" i="29"/>
  <c r="A76" i="29"/>
  <c r="C75" i="29"/>
  <c r="B75" i="29"/>
  <c r="A75" i="29"/>
  <c r="C74" i="29"/>
  <c r="B74" i="29"/>
  <c r="A74" i="29"/>
  <c r="C73" i="29"/>
  <c r="B73" i="29"/>
  <c r="A73" i="29"/>
  <c r="C72" i="29"/>
  <c r="B72" i="29"/>
  <c r="A72" i="29"/>
  <c r="C71" i="29"/>
  <c r="B71" i="29"/>
  <c r="A71" i="29"/>
  <c r="C70" i="29"/>
  <c r="B70" i="29"/>
  <c r="A70" i="29"/>
  <c r="C69" i="29"/>
  <c r="B69" i="29"/>
  <c r="A69" i="29"/>
  <c r="C68" i="29"/>
  <c r="B68" i="29"/>
  <c r="A68" i="29"/>
  <c r="C67" i="29"/>
  <c r="B67" i="29"/>
  <c r="A67" i="29"/>
  <c r="C35" i="29"/>
  <c r="B35" i="29"/>
  <c r="A35" i="29"/>
  <c r="C332" i="29" l="1"/>
  <c r="B332" i="29"/>
  <c r="A332" i="29"/>
  <c r="C331" i="29"/>
  <c r="B331" i="29"/>
  <c r="A331" i="29"/>
  <c r="C330" i="29"/>
  <c r="B330" i="29"/>
  <c r="A330" i="29"/>
  <c r="C329" i="29"/>
  <c r="B329" i="29"/>
  <c r="A329" i="29"/>
  <c r="C317" i="29"/>
  <c r="B317" i="29"/>
  <c r="A317" i="29"/>
  <c r="C341" i="29"/>
  <c r="B341" i="29"/>
  <c r="A341" i="29"/>
  <c r="C18" i="36"/>
  <c r="B18" i="36"/>
  <c r="A18" i="36"/>
  <c r="C14" i="36"/>
  <c r="B14" i="36"/>
  <c r="A14" i="36"/>
  <c r="C13" i="36"/>
  <c r="B13" i="36"/>
  <c r="A13" i="36"/>
  <c r="C12" i="36"/>
  <c r="B12" i="36"/>
  <c r="A12" i="36"/>
  <c r="C11" i="36"/>
  <c r="B11" i="36"/>
  <c r="A11" i="36"/>
  <c r="C10" i="36"/>
  <c r="B10" i="36"/>
  <c r="A10" i="36"/>
  <c r="C9" i="36"/>
  <c r="B9" i="36"/>
  <c r="A9" i="36"/>
  <c r="C8" i="36"/>
  <c r="B8" i="36"/>
  <c r="A8" i="36"/>
  <c r="C7" i="36"/>
  <c r="B7" i="36"/>
  <c r="A7" i="36"/>
  <c r="C6" i="36"/>
  <c r="B6" i="36"/>
  <c r="A6" i="36"/>
  <c r="C28" i="35"/>
  <c r="B28" i="35"/>
  <c r="A28" i="35"/>
  <c r="C24" i="35"/>
  <c r="B24" i="35"/>
  <c r="A24" i="35"/>
  <c r="C20" i="35"/>
  <c r="B20" i="35"/>
  <c r="A20" i="35"/>
  <c r="C16" i="35"/>
  <c r="B16" i="35"/>
  <c r="A16" i="35"/>
  <c r="C12" i="35"/>
  <c r="B12" i="35"/>
  <c r="A12" i="35"/>
  <c r="C8" i="35"/>
  <c r="B8" i="35"/>
  <c r="A8" i="35"/>
  <c r="A4" i="35"/>
  <c r="C187" i="31"/>
  <c r="B187" i="31"/>
  <c r="A187" i="31"/>
  <c r="C183" i="31"/>
  <c r="B183" i="31"/>
  <c r="A183" i="31"/>
  <c r="C182" i="31"/>
  <c r="B182" i="31"/>
  <c r="A182" i="31"/>
  <c r="C181" i="31"/>
  <c r="B181" i="31"/>
  <c r="A181" i="31"/>
  <c r="C180" i="31"/>
  <c r="B180" i="31"/>
  <c r="A180" i="31"/>
  <c r="C179" i="31"/>
  <c r="B179" i="31"/>
  <c r="A179" i="31"/>
  <c r="C175" i="31"/>
  <c r="B175" i="31"/>
  <c r="A175" i="31"/>
  <c r="C174" i="31"/>
  <c r="B174" i="31"/>
  <c r="A174" i="31"/>
  <c r="C173" i="31"/>
  <c r="B173" i="31"/>
  <c r="A173" i="31"/>
  <c r="C172" i="31"/>
  <c r="B172" i="31"/>
  <c r="A172" i="31"/>
  <c r="C171" i="31"/>
  <c r="B171" i="31"/>
  <c r="A171" i="31"/>
  <c r="C170" i="31"/>
  <c r="B170" i="31"/>
  <c r="A170" i="31"/>
  <c r="C166" i="31"/>
  <c r="B166" i="31"/>
  <c r="A166" i="31"/>
  <c r="C165" i="31"/>
  <c r="B165" i="31"/>
  <c r="A165" i="31"/>
  <c r="C156" i="31"/>
  <c r="B156" i="31"/>
  <c r="A156" i="31"/>
  <c r="C155" i="31"/>
  <c r="B155" i="31"/>
  <c r="A155" i="31"/>
  <c r="C151" i="31"/>
  <c r="B151" i="31"/>
  <c r="A151" i="31"/>
  <c r="C150" i="31"/>
  <c r="B150" i="31"/>
  <c r="A150" i="31"/>
  <c r="C149" i="31"/>
  <c r="B149" i="31"/>
  <c r="A149" i="31"/>
  <c r="C148" i="31"/>
  <c r="B148" i="31"/>
  <c r="A148" i="31"/>
  <c r="C147" i="31"/>
  <c r="B147" i="31"/>
  <c r="A147" i="31"/>
  <c r="C146" i="31"/>
  <c r="B146" i="31"/>
  <c r="A146" i="31"/>
  <c r="C145" i="31"/>
  <c r="B145" i="31"/>
  <c r="A145" i="31"/>
  <c r="C144" i="31"/>
  <c r="B144" i="31"/>
  <c r="A144" i="31"/>
  <c r="C143" i="31"/>
  <c r="B143" i="31"/>
  <c r="A143" i="31"/>
  <c r="C142" i="31"/>
  <c r="B142" i="31"/>
  <c r="A142" i="31"/>
  <c r="C141" i="31"/>
  <c r="B141" i="31"/>
  <c r="A141" i="31"/>
  <c r="C140" i="31"/>
  <c r="B140" i="31"/>
  <c r="A140" i="31"/>
  <c r="C123" i="31"/>
  <c r="B123" i="31"/>
  <c r="A123" i="31"/>
  <c r="C122" i="31"/>
  <c r="B122" i="31"/>
  <c r="A122" i="31"/>
  <c r="C121" i="31"/>
  <c r="B121" i="31"/>
  <c r="A121" i="31"/>
  <c r="C120" i="31"/>
  <c r="B120" i="31"/>
  <c r="A120" i="31"/>
  <c r="C119" i="31"/>
  <c r="B119" i="31"/>
  <c r="A119" i="31"/>
  <c r="C118" i="31"/>
  <c r="B118" i="31"/>
  <c r="A118" i="31"/>
  <c r="C117" i="31"/>
  <c r="B117" i="31"/>
  <c r="A117" i="31"/>
  <c r="C116" i="31"/>
  <c r="B116" i="31"/>
  <c r="A116" i="31"/>
  <c r="C115" i="31"/>
  <c r="B115" i="31"/>
  <c r="A115" i="31"/>
  <c r="C111" i="31"/>
  <c r="B111" i="31"/>
  <c r="A111" i="31"/>
  <c r="C110" i="31"/>
  <c r="B110" i="31"/>
  <c r="A110" i="31"/>
  <c r="C109" i="31"/>
  <c r="B109" i="31"/>
  <c r="A109" i="31"/>
  <c r="C105" i="31"/>
  <c r="B105" i="31"/>
  <c r="A105" i="31"/>
  <c r="C103" i="31"/>
  <c r="B103" i="31"/>
  <c r="A103" i="31"/>
  <c r="C102" i="31"/>
  <c r="B102" i="31"/>
  <c r="A102" i="31"/>
  <c r="C92" i="31"/>
  <c r="B92" i="31"/>
  <c r="A92" i="31"/>
  <c r="C91" i="31"/>
  <c r="B91" i="31"/>
  <c r="A91" i="31"/>
  <c r="C47" i="31"/>
  <c r="B47" i="31"/>
  <c r="A47" i="31"/>
  <c r="C34" i="31"/>
  <c r="B34" i="31"/>
  <c r="A34" i="31"/>
  <c r="C33" i="31"/>
  <c r="B33" i="31"/>
  <c r="A33" i="31"/>
  <c r="C18" i="31"/>
  <c r="B18" i="31"/>
  <c r="A18" i="31"/>
  <c r="C87" i="31" l="1"/>
  <c r="B87" i="31"/>
  <c r="A87" i="31"/>
  <c r="C85" i="31"/>
  <c r="B85" i="31"/>
  <c r="A85" i="31"/>
  <c r="C84" i="31"/>
  <c r="B84" i="31"/>
  <c r="A84" i="31"/>
  <c r="C83" i="31"/>
  <c r="B83" i="31"/>
  <c r="A83" i="31"/>
  <c r="C82" i="31"/>
  <c r="B82" i="31"/>
  <c r="A82" i="31"/>
  <c r="C81" i="31"/>
  <c r="B81" i="31"/>
  <c r="A81" i="31"/>
  <c r="C80" i="31"/>
  <c r="B80" i="31"/>
  <c r="A80" i="31"/>
  <c r="C76" i="31"/>
  <c r="B76" i="31"/>
  <c r="A76" i="31"/>
  <c r="C72" i="31"/>
  <c r="B72" i="31"/>
  <c r="A72" i="31"/>
  <c r="C71" i="31"/>
  <c r="B71" i="31"/>
  <c r="A71" i="31"/>
  <c r="C67" i="31"/>
  <c r="B67" i="31"/>
  <c r="A67" i="31"/>
  <c r="C66" i="31"/>
  <c r="B66" i="31"/>
  <c r="A66" i="31"/>
  <c r="C61" i="31"/>
  <c r="B61" i="31"/>
  <c r="A61" i="31"/>
  <c r="C60" i="31"/>
  <c r="B60" i="31"/>
  <c r="A60" i="31"/>
  <c r="C56" i="31"/>
  <c r="B56" i="31"/>
  <c r="A56" i="31"/>
  <c r="C52" i="31"/>
  <c r="B52" i="31"/>
  <c r="A52" i="31"/>
  <c r="C51" i="31"/>
  <c r="B51" i="31"/>
  <c r="A51" i="31"/>
  <c r="C43" i="31"/>
  <c r="B43" i="31"/>
  <c r="A43" i="31"/>
  <c r="C42" i="31"/>
  <c r="B42" i="31"/>
  <c r="A42" i="31"/>
  <c r="C41" i="31"/>
  <c r="B41" i="31"/>
  <c r="A41" i="31"/>
  <c r="C40" i="31"/>
  <c r="B40" i="31"/>
  <c r="A40" i="31"/>
  <c r="C39" i="31"/>
  <c r="B39" i="31"/>
  <c r="A39" i="31"/>
  <c r="C38" i="31"/>
  <c r="B38" i="31"/>
  <c r="A38" i="31"/>
  <c r="C29" i="31"/>
  <c r="B29" i="31"/>
  <c r="A29" i="31"/>
  <c r="C28" i="31"/>
  <c r="B28" i="31"/>
  <c r="A28" i="31"/>
  <c r="C27" i="31"/>
  <c r="B27" i="31"/>
  <c r="A27" i="31"/>
  <c r="C26" i="31"/>
  <c r="B26" i="31"/>
  <c r="A26" i="31"/>
  <c r="C25" i="31"/>
  <c r="B25" i="31"/>
  <c r="A25" i="31"/>
  <c r="C24" i="31"/>
  <c r="B24" i="31"/>
  <c r="A24" i="31"/>
  <c r="C23" i="31"/>
  <c r="B23" i="31"/>
  <c r="A23" i="31"/>
  <c r="C22" i="31"/>
  <c r="B22" i="31"/>
  <c r="A22" i="31"/>
  <c r="C14" i="31"/>
  <c r="B14" i="31"/>
  <c r="A14" i="31"/>
  <c r="C13" i="31"/>
  <c r="B13" i="31"/>
  <c r="A13" i="31"/>
  <c r="C12" i="31"/>
  <c r="B12" i="31"/>
  <c r="A12" i="31"/>
  <c r="C11" i="31"/>
  <c r="B11" i="31"/>
  <c r="A11" i="31"/>
  <c r="C10" i="31"/>
  <c r="B10" i="31"/>
  <c r="A10" i="31"/>
  <c r="C9" i="31"/>
  <c r="B9" i="31"/>
  <c r="A9" i="31"/>
  <c r="C8" i="31"/>
  <c r="B8" i="31"/>
  <c r="A8" i="31"/>
  <c r="C63" i="29"/>
  <c r="B63" i="29"/>
  <c r="A63" i="29"/>
  <c r="C62" i="29"/>
  <c r="B62" i="29"/>
  <c r="A62" i="29"/>
  <c r="C61" i="29"/>
  <c r="B61" i="29"/>
  <c r="A61" i="29"/>
  <c r="C60" i="29"/>
  <c r="B60" i="29"/>
  <c r="A60" i="29"/>
  <c r="C59" i="29"/>
  <c r="B59" i="29"/>
  <c r="A59" i="29"/>
  <c r="C58" i="29"/>
  <c r="B58" i="29"/>
  <c r="A58" i="29"/>
  <c r="C54" i="29"/>
  <c r="B54" i="29"/>
  <c r="A54" i="29"/>
  <c r="C53" i="29"/>
  <c r="B53" i="29"/>
  <c r="A53" i="29"/>
  <c r="C52" i="29"/>
  <c r="B52" i="29"/>
  <c r="A52" i="29"/>
  <c r="C51" i="29"/>
  <c r="B51" i="29"/>
  <c r="A51" i="29"/>
  <c r="C50" i="29"/>
  <c r="B50" i="29"/>
  <c r="A50" i="29"/>
  <c r="C49" i="29"/>
  <c r="B49" i="29"/>
  <c r="A49" i="29"/>
  <c r="C47" i="29"/>
  <c r="B47" i="29"/>
  <c r="A47" i="29"/>
  <c r="C45" i="29"/>
  <c r="B45" i="29"/>
  <c r="A45" i="29"/>
  <c r="C43" i="29"/>
  <c r="B43" i="29"/>
  <c r="A43" i="29"/>
  <c r="C41" i="29"/>
  <c r="B41" i="29"/>
  <c r="A41" i="29"/>
  <c r="C40" i="29"/>
  <c r="B40" i="29"/>
  <c r="A40" i="29"/>
  <c r="C39" i="29"/>
  <c r="B39" i="29"/>
  <c r="A39" i="29"/>
  <c r="C34" i="29"/>
  <c r="B34" i="29"/>
  <c r="A34" i="29"/>
  <c r="C32" i="29"/>
  <c r="B32" i="29"/>
  <c r="A32" i="29"/>
  <c r="C31" i="29"/>
  <c r="B31" i="29"/>
  <c r="A31" i="29"/>
  <c r="C445" i="29"/>
  <c r="B445" i="29"/>
  <c r="A445" i="29"/>
  <c r="C444" i="29"/>
  <c r="B444" i="29"/>
  <c r="A444" i="29"/>
  <c r="C443" i="29"/>
  <c r="B443" i="29"/>
  <c r="A443" i="29"/>
  <c r="C442" i="29"/>
  <c r="B442" i="29"/>
  <c r="A442" i="29"/>
  <c r="C441" i="29"/>
  <c r="B441" i="29"/>
  <c r="A441" i="29"/>
  <c r="C440" i="29"/>
  <c r="B440" i="29"/>
  <c r="A440" i="29"/>
  <c r="C439" i="29"/>
  <c r="B439" i="29"/>
  <c r="A439" i="29"/>
  <c r="C438" i="29"/>
  <c r="B438" i="29"/>
  <c r="A438" i="29"/>
  <c r="C296" i="29"/>
  <c r="B296" i="29"/>
  <c r="A296" i="29"/>
  <c r="C295" i="29"/>
  <c r="B295" i="29"/>
  <c r="A295" i="29"/>
  <c r="C294" i="29"/>
  <c r="B294" i="29"/>
  <c r="A294" i="29"/>
  <c r="C434" i="29"/>
  <c r="B434" i="29"/>
  <c r="A434" i="29"/>
  <c r="C433" i="29"/>
  <c r="B433" i="29"/>
  <c r="A433" i="29"/>
  <c r="C432" i="29"/>
  <c r="B432" i="29"/>
  <c r="A432" i="29"/>
  <c r="C431" i="29"/>
  <c r="B431" i="29"/>
  <c r="A431" i="29"/>
  <c r="C430" i="29"/>
  <c r="B430" i="29"/>
  <c r="A430" i="29"/>
  <c r="C429" i="29"/>
  <c r="B429" i="29"/>
  <c r="A429" i="29"/>
  <c r="C412" i="29"/>
  <c r="B412" i="29"/>
  <c r="A412" i="29"/>
  <c r="C411" i="29"/>
  <c r="B411" i="29"/>
  <c r="A411" i="29"/>
  <c r="C410" i="29"/>
  <c r="B410" i="29"/>
  <c r="A410" i="29"/>
  <c r="C409" i="29"/>
  <c r="B409" i="29"/>
  <c r="A409" i="29"/>
  <c r="C408" i="29"/>
  <c r="B408" i="29"/>
  <c r="A408" i="29"/>
  <c r="C402" i="29"/>
  <c r="B402" i="29"/>
  <c r="A402" i="29"/>
  <c r="C401" i="29"/>
  <c r="B401" i="29"/>
  <c r="A401" i="29"/>
  <c r="C398" i="29"/>
  <c r="B398" i="29"/>
  <c r="A398" i="29"/>
  <c r="C397" i="29"/>
  <c r="B397" i="29"/>
  <c r="A397" i="29"/>
  <c r="C395" i="29"/>
  <c r="B395" i="29"/>
  <c r="A395" i="29"/>
  <c r="C394" i="29"/>
  <c r="B394" i="29"/>
  <c r="A394" i="29"/>
  <c r="C393" i="29"/>
  <c r="B393" i="29"/>
  <c r="A393" i="29"/>
  <c r="C392" i="29"/>
  <c r="B392" i="29"/>
  <c r="A392" i="29"/>
  <c r="C391" i="29"/>
  <c r="B391" i="29"/>
  <c r="A391" i="29"/>
  <c r="C390" i="29"/>
  <c r="B390" i="29"/>
  <c r="A390" i="29"/>
  <c r="C387" i="29"/>
  <c r="B387" i="29"/>
  <c r="A387" i="29"/>
  <c r="C386" i="29"/>
  <c r="B386" i="29"/>
  <c r="A386" i="29"/>
  <c r="C385" i="29"/>
  <c r="B385" i="29"/>
  <c r="A385" i="29"/>
  <c r="C384" i="29"/>
  <c r="B384" i="29"/>
  <c r="A384" i="29"/>
  <c r="C383" i="29"/>
  <c r="B383" i="29"/>
  <c r="A383" i="29"/>
  <c r="C382" i="29"/>
  <c r="B382" i="29"/>
  <c r="A382" i="29"/>
  <c r="C381" i="29"/>
  <c r="B381" i="29"/>
  <c r="A381" i="29"/>
  <c r="C380" i="29"/>
  <c r="B380" i="29"/>
  <c r="A380" i="29"/>
  <c r="C379" i="29"/>
  <c r="B379" i="29"/>
  <c r="A379" i="29"/>
  <c r="C378" i="29"/>
  <c r="B378" i="29"/>
  <c r="A378" i="29"/>
  <c r="C377" i="29"/>
  <c r="B377" i="29"/>
  <c r="A377" i="29"/>
  <c r="C376" i="29"/>
  <c r="B376" i="29"/>
  <c r="A376" i="29"/>
  <c r="C375" i="29"/>
  <c r="B375" i="29"/>
  <c r="A375" i="29"/>
  <c r="C374" i="29"/>
  <c r="B374" i="29"/>
  <c r="A374" i="29"/>
  <c r="C373" i="29"/>
  <c r="B373" i="29"/>
  <c r="A373" i="29"/>
  <c r="C372" i="29"/>
  <c r="B372" i="29"/>
  <c r="A372" i="29"/>
  <c r="C371" i="29"/>
  <c r="B371" i="29"/>
  <c r="A371" i="29"/>
  <c r="C369" i="29"/>
  <c r="B369" i="29"/>
  <c r="A369" i="29"/>
  <c r="C351" i="29"/>
  <c r="B351" i="29"/>
  <c r="A351" i="29"/>
  <c r="C350" i="29"/>
  <c r="B350" i="29"/>
  <c r="A350" i="29"/>
  <c r="C349" i="29"/>
  <c r="B349" i="29"/>
  <c r="A349" i="29"/>
  <c r="C348" i="29"/>
  <c r="B348" i="29"/>
  <c r="A348" i="29"/>
  <c r="C347" i="29"/>
  <c r="B347" i="29"/>
  <c r="A347" i="29"/>
  <c r="C346" i="29"/>
  <c r="B346" i="29"/>
  <c r="A346" i="29"/>
  <c r="C293" i="29"/>
  <c r="B293" i="29"/>
  <c r="A293" i="29"/>
  <c r="C292" i="29"/>
  <c r="B292" i="29"/>
  <c r="A292" i="29"/>
  <c r="C291" i="29"/>
  <c r="B291" i="29"/>
  <c r="A291" i="29"/>
  <c r="C290" i="29"/>
  <c r="B290" i="29"/>
  <c r="A290" i="29"/>
  <c r="C289" i="29"/>
  <c r="B289" i="29"/>
  <c r="A289" i="29"/>
  <c r="C288" i="29"/>
  <c r="B288" i="29"/>
  <c r="A288" i="29"/>
  <c r="C287" i="29"/>
  <c r="B287" i="29"/>
  <c r="A287" i="29"/>
  <c r="C286" i="29"/>
  <c r="B286" i="29"/>
  <c r="A286" i="29"/>
  <c r="C340" i="29"/>
  <c r="B340" i="29"/>
  <c r="A340" i="29"/>
  <c r="C339" i="29"/>
  <c r="B339" i="29"/>
  <c r="A339" i="29"/>
  <c r="C338" i="29"/>
  <c r="B338" i="29"/>
  <c r="A338" i="29"/>
  <c r="C337" i="29"/>
  <c r="B337" i="29"/>
  <c r="A337" i="29"/>
  <c r="C336" i="29"/>
  <c r="B336" i="29"/>
  <c r="A336" i="29"/>
  <c r="C335" i="29"/>
  <c r="B335" i="29"/>
  <c r="A335" i="29"/>
  <c r="C334" i="29"/>
  <c r="B334" i="29"/>
  <c r="A334" i="29"/>
  <c r="C333" i="29"/>
  <c r="B333" i="29"/>
  <c r="A333" i="29"/>
  <c r="C328" i="29"/>
  <c r="B328" i="29"/>
  <c r="A328" i="29"/>
  <c r="C327" i="29"/>
  <c r="B327" i="29"/>
  <c r="A327" i="29"/>
  <c r="C326" i="29"/>
  <c r="B326" i="29"/>
  <c r="A326" i="29"/>
  <c r="C325" i="29"/>
  <c r="B325" i="29"/>
  <c r="A325" i="29"/>
  <c r="C324" i="29"/>
  <c r="B324" i="29"/>
  <c r="A324" i="29"/>
  <c r="C323" i="29"/>
  <c r="B323" i="29"/>
  <c r="A323" i="29"/>
  <c r="C322" i="29"/>
  <c r="B322" i="29"/>
  <c r="A322" i="29"/>
  <c r="C321" i="29"/>
  <c r="B321" i="29"/>
  <c r="A321" i="29"/>
  <c r="C320" i="29"/>
  <c r="B320" i="29"/>
  <c r="A320" i="29"/>
  <c r="C319" i="29"/>
  <c r="B319" i="29"/>
  <c r="A319" i="29"/>
  <c r="C274" i="29"/>
  <c r="B274" i="29"/>
  <c r="A274" i="29"/>
  <c r="C276" i="29"/>
  <c r="B276" i="29"/>
  <c r="A276" i="29"/>
  <c r="C275" i="29"/>
  <c r="B275" i="29"/>
  <c r="A275" i="29"/>
  <c r="C272" i="29"/>
  <c r="B272" i="29"/>
  <c r="A272" i="29"/>
  <c r="C269" i="29"/>
  <c r="B269" i="29"/>
  <c r="A269" i="29"/>
  <c r="C268" i="29"/>
  <c r="B268" i="29"/>
  <c r="A268" i="29"/>
  <c r="C267" i="29"/>
  <c r="B267" i="29"/>
  <c r="A267" i="29"/>
  <c r="C266" i="29"/>
  <c r="B266" i="29"/>
  <c r="A266" i="29"/>
  <c r="C265" i="29"/>
  <c r="B265" i="29"/>
  <c r="A265" i="29"/>
  <c r="C264" i="29"/>
  <c r="B264" i="29"/>
  <c r="A264" i="29"/>
  <c r="C263" i="29"/>
  <c r="B263" i="29"/>
  <c r="A263" i="29"/>
  <c r="C262" i="29"/>
  <c r="B262" i="29"/>
  <c r="A262" i="29"/>
  <c r="C261" i="29"/>
  <c r="B261" i="29"/>
  <c r="A261" i="29"/>
  <c r="C255" i="29"/>
  <c r="B255" i="29"/>
  <c r="A255" i="29"/>
  <c r="C251" i="29"/>
  <c r="B251" i="29"/>
  <c r="A251" i="29"/>
  <c r="C250" i="29"/>
  <c r="B250" i="29"/>
  <c r="A250" i="29"/>
  <c r="C249" i="29"/>
  <c r="B249" i="29"/>
  <c r="A249" i="29"/>
  <c r="C248" i="29"/>
  <c r="B248" i="29"/>
  <c r="A248" i="29"/>
  <c r="C247" i="29"/>
  <c r="B247" i="29"/>
  <c r="A247" i="29"/>
  <c r="C246" i="29"/>
  <c r="B246" i="29"/>
  <c r="A246" i="29"/>
  <c r="C245" i="29"/>
  <c r="B245" i="29"/>
  <c r="A245" i="29"/>
  <c r="C244" i="29"/>
  <c r="B244" i="29"/>
  <c r="A244" i="29"/>
  <c r="C223" i="29"/>
  <c r="B223" i="29"/>
  <c r="A223" i="29"/>
  <c r="C222" i="29"/>
  <c r="B222" i="29"/>
  <c r="A222" i="29"/>
  <c r="C221" i="29"/>
  <c r="B221" i="29"/>
  <c r="A221" i="29"/>
  <c r="C220" i="29"/>
  <c r="B220" i="29"/>
  <c r="A220" i="29"/>
  <c r="C219" i="29"/>
  <c r="B219" i="29"/>
  <c r="A219" i="29"/>
  <c r="C183" i="29"/>
  <c r="B183" i="29"/>
  <c r="A183" i="29"/>
  <c r="C206" i="29"/>
  <c r="B206" i="29"/>
  <c r="A206" i="29"/>
  <c r="C205" i="29"/>
  <c r="B205" i="29"/>
  <c r="A205" i="29"/>
  <c r="C204" i="29"/>
  <c r="B204" i="29"/>
  <c r="A204" i="29"/>
  <c r="C203" i="29"/>
  <c r="B203" i="29"/>
  <c r="A203" i="29"/>
  <c r="C218" i="29"/>
  <c r="B218" i="29"/>
  <c r="A218" i="29"/>
  <c r="C217" i="29"/>
  <c r="B217" i="29"/>
  <c r="A217" i="29"/>
  <c r="C216" i="29"/>
  <c r="B216" i="29"/>
  <c r="A216" i="29"/>
  <c r="C215" i="29"/>
  <c r="B215" i="29"/>
  <c r="A215" i="29"/>
  <c r="C214" i="29"/>
  <c r="B214" i="29"/>
  <c r="A214" i="29"/>
  <c r="C213" i="29"/>
  <c r="B213" i="29"/>
  <c r="A213" i="29"/>
  <c r="C212" i="29"/>
  <c r="B212" i="29"/>
  <c r="A212" i="29"/>
  <c r="C211" i="29"/>
  <c r="B211" i="29"/>
  <c r="A211" i="29"/>
  <c r="C210" i="29"/>
  <c r="B210" i="29"/>
  <c r="A210" i="29"/>
  <c r="C209" i="29"/>
  <c r="B209" i="29"/>
  <c r="A209" i="29"/>
  <c r="C208" i="29"/>
  <c r="B208" i="29"/>
  <c r="A208" i="29"/>
  <c r="C207" i="29"/>
  <c r="B207" i="29"/>
  <c r="A207" i="29"/>
  <c r="C202" i="29"/>
  <c r="B202" i="29"/>
  <c r="A202" i="29"/>
  <c r="C201" i="29"/>
  <c r="B201" i="29"/>
  <c r="A201" i="29"/>
  <c r="C200" i="29"/>
  <c r="B200" i="29"/>
  <c r="A200" i="29"/>
  <c r="C199" i="29"/>
  <c r="B199" i="29"/>
  <c r="A199" i="29"/>
  <c r="C198" i="29"/>
  <c r="B198" i="29"/>
  <c r="A198" i="29"/>
  <c r="C197" i="29"/>
  <c r="B197" i="29"/>
  <c r="A197" i="29"/>
  <c r="C196" i="29"/>
  <c r="B196" i="29"/>
  <c r="A196" i="29"/>
  <c r="C195" i="29"/>
  <c r="B195" i="29"/>
  <c r="A195" i="29"/>
  <c r="C194" i="29"/>
  <c r="B194" i="29"/>
  <c r="A194" i="29"/>
  <c r="C193" i="29"/>
  <c r="B193" i="29"/>
  <c r="A193" i="29"/>
  <c r="C192" i="29"/>
  <c r="B192" i="29"/>
  <c r="A192" i="29"/>
  <c r="C191" i="29"/>
  <c r="B191" i="29"/>
  <c r="A191" i="29"/>
  <c r="C190" i="29"/>
  <c r="B190" i="29"/>
  <c r="A190" i="29"/>
  <c r="C189" i="29"/>
  <c r="B189" i="29"/>
  <c r="A189" i="29"/>
  <c r="C188" i="29"/>
  <c r="B188" i="29"/>
  <c r="A188" i="29"/>
  <c r="C187" i="29"/>
  <c r="B187" i="29"/>
  <c r="A187" i="29"/>
  <c r="C186" i="29"/>
  <c r="B186" i="29"/>
  <c r="A186" i="29"/>
  <c r="C185" i="29"/>
  <c r="B185" i="29"/>
  <c r="A185" i="29"/>
  <c r="C184" i="29"/>
  <c r="B184" i="29"/>
  <c r="A184" i="29"/>
  <c r="C182" i="29"/>
  <c r="B182" i="29"/>
  <c r="A182" i="29"/>
  <c r="C181" i="29"/>
  <c r="B181" i="29"/>
  <c r="A181" i="29"/>
  <c r="C180" i="29"/>
  <c r="B180" i="29"/>
  <c r="A180" i="29"/>
  <c r="C179" i="29"/>
  <c r="B179" i="29"/>
  <c r="A179" i="29"/>
  <c r="C178" i="29"/>
  <c r="B178" i="29"/>
  <c r="A178" i="29"/>
  <c r="C177" i="29"/>
  <c r="B177" i="29"/>
  <c r="A177" i="29"/>
  <c r="C176" i="29"/>
  <c r="B176" i="29"/>
  <c r="A176" i="29"/>
  <c r="C175" i="29"/>
  <c r="B175" i="29"/>
  <c r="A175" i="29"/>
  <c r="C174" i="29"/>
  <c r="B174" i="29"/>
  <c r="A174" i="29"/>
  <c r="C173" i="29"/>
  <c r="B173" i="29"/>
  <c r="A173" i="29"/>
  <c r="C172" i="29"/>
  <c r="B172" i="29"/>
  <c r="A172" i="29"/>
  <c r="C171" i="29"/>
  <c r="B171" i="29"/>
  <c r="A171" i="29"/>
  <c r="C170" i="29"/>
  <c r="B170" i="29"/>
  <c r="A170" i="29"/>
  <c r="C169" i="29"/>
  <c r="B169" i="29"/>
  <c r="A169" i="29"/>
  <c r="C168" i="29"/>
  <c r="B168" i="29"/>
  <c r="A168" i="29"/>
  <c r="C161" i="29"/>
  <c r="B161" i="29"/>
  <c r="A161" i="29"/>
  <c r="C160" i="29"/>
  <c r="B160" i="29"/>
  <c r="A160" i="29"/>
  <c r="C159" i="29"/>
  <c r="B159" i="29"/>
  <c r="A159" i="29"/>
  <c r="C158" i="29"/>
  <c r="B158" i="29"/>
  <c r="A158" i="29"/>
  <c r="C157" i="29"/>
  <c r="B157" i="29"/>
  <c r="A157" i="29"/>
  <c r="C156" i="29"/>
  <c r="B156" i="29"/>
  <c r="A156" i="29"/>
  <c r="C155" i="29"/>
  <c r="B155" i="29"/>
  <c r="A155" i="29"/>
  <c r="C154" i="29"/>
  <c r="B154" i="29"/>
  <c r="A154" i="29"/>
  <c r="C145" i="29"/>
  <c r="B145" i="29"/>
  <c r="A145" i="29"/>
  <c r="C144" i="29"/>
  <c r="B144" i="29"/>
  <c r="A144" i="29"/>
  <c r="C143" i="29"/>
  <c r="B143" i="29"/>
  <c r="A143" i="29"/>
  <c r="C142" i="29"/>
  <c r="B142" i="29"/>
  <c r="A142" i="29"/>
  <c r="C141" i="29"/>
  <c r="B141" i="29"/>
  <c r="A141" i="29"/>
  <c r="C140" i="29"/>
  <c r="B140" i="29"/>
  <c r="A140" i="29"/>
  <c r="C139" i="29"/>
  <c r="B139" i="29"/>
  <c r="A139" i="29"/>
  <c r="C138" i="29"/>
  <c r="B138" i="29"/>
  <c r="A138" i="29"/>
  <c r="C137" i="29"/>
  <c r="B137" i="29"/>
  <c r="A137" i="29"/>
  <c r="C136" i="29"/>
  <c r="B136" i="29"/>
  <c r="A136" i="29"/>
  <c r="A4" i="31" l="1"/>
  <c r="C117" i="29"/>
  <c r="B117" i="29"/>
  <c r="A117" i="29"/>
  <c r="C116" i="29"/>
  <c r="B116" i="29"/>
  <c r="A116" i="29"/>
  <c r="C115" i="29"/>
  <c r="B115" i="29"/>
  <c r="A115" i="29"/>
  <c r="C135" i="29"/>
  <c r="B135" i="29"/>
  <c r="A135" i="29"/>
  <c r="C134" i="29"/>
  <c r="B134" i="29"/>
  <c r="A134" i="29"/>
  <c r="C133" i="29"/>
  <c r="B133" i="29"/>
  <c r="A133" i="29"/>
  <c r="C132" i="29"/>
  <c r="B132" i="29"/>
  <c r="A132" i="29"/>
  <c r="C131" i="29"/>
  <c r="B131" i="29"/>
  <c r="A131" i="29"/>
  <c r="C120" i="29"/>
  <c r="B120" i="29"/>
  <c r="A120" i="29"/>
  <c r="C119" i="29"/>
  <c r="B119" i="29"/>
  <c r="A119" i="29"/>
  <c r="C118" i="29"/>
  <c r="B118" i="29"/>
  <c r="A118" i="29"/>
  <c r="A27"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40" authorId="0" shapeId="0" xr:uid="{BF248553-AA5F-47AF-AFE1-9E0701F12778}">
      <text>
        <r>
          <rPr>
            <sz val="9"/>
            <color indexed="81"/>
            <rFont val="Tahoma"/>
            <family val="2"/>
          </rPr>
          <t xml:space="preserve">Author:
Referenace Setting in Innovus:
set_analysis_view -setup [all_setup_analysis_views] -hold [all_hold_analysis_views] –leakage ${_power_view} -dynamic ${_power_view}
</t>
        </r>
        <r>
          <rPr>
            <b/>
            <sz val="9"/>
            <color indexed="81"/>
            <rFont val="Tahoma"/>
            <family val="2"/>
          </rPr>
          <t>setDesignMode -powerEffort high</t>
        </r>
        <r>
          <rPr>
            <sz val="9"/>
            <color indexed="81"/>
            <rFont val="Tahoma"/>
            <family val="2"/>
          </rPr>
          <t xml:space="preserve">
setDesignMode -propagateActivity true
setOptMode </t>
        </r>
        <r>
          <rPr>
            <b/>
            <sz val="9"/>
            <color indexed="81"/>
            <rFont val="Tahoma"/>
            <family val="2"/>
          </rPr>
          <t xml:space="preserve">-leakageToDynamicRatio 0.2 </t>
        </r>
        <r>
          <rPr>
            <sz val="9"/>
            <color indexed="81"/>
            <rFont val="Tahoma"/>
            <family val="2"/>
          </rPr>
          <t xml:space="preserve">-enableOptLAForPower true </t>
        </r>
        <r>
          <rPr>
            <b/>
            <sz val="9"/>
            <color indexed="81"/>
            <rFont val="Tahoma"/>
            <family val="2"/>
          </rPr>
          <t>-powerEffort high</t>
        </r>
        <r>
          <rPr>
            <sz val="9"/>
            <color indexed="81"/>
            <rFont val="Tahoma"/>
            <family val="2"/>
          </rPr>
          <t xml:space="preserve">
set_default_switching_activity -input_activity 0.15 -clip_activity_to_domain_freq true
setNanoRouteMode -grouteWithPowerDriven true -grouteExpPowerDrivenEffort medium
For the block like DS with 6400Mbps data rate(timing extremely critical), high power effort may impact the timing closure much, you may can set low and that still helps on active power reduction. 
</t>
        </r>
      </text>
    </comment>
    <comment ref="F141" authorId="0" shapeId="0" xr:uid="{2D635AC7-EF1B-4BD6-8181-D76CBE232D23}">
      <text>
        <r>
          <rPr>
            <sz val="9"/>
            <color indexed="81"/>
            <rFont val="Tahoma"/>
            <family val="2"/>
          </rPr>
          <t xml:space="preserve">Author:
Per RTL designer, all the synchronizer registers does have the instance name like *hic_dnt_sync_reg*, please double check. 
About how to control the placement, please refer to below guideline.
https://support.cadence.com/apex/ArticleAttachmentPortal?id=a1Od0000000nVNjEAM&amp;pageName=ArticleContent
</t>
        </r>
      </text>
    </comment>
    <comment ref="F143" authorId="0" shapeId="0" xr:uid="{1477A88D-12D4-47C3-BAFA-068743FA117D}">
      <text>
        <r>
          <rPr>
            <b/>
            <sz val="9"/>
            <color indexed="81"/>
            <rFont val="Tahoma"/>
            <family val="2"/>
          </rPr>
          <t>Author:</t>
        </r>
        <r>
          <rPr>
            <sz val="9"/>
            <color indexed="81"/>
            <rFont val="Tahoma"/>
            <family val="2"/>
          </rPr>
          <t xml:space="preserve">
dbGet [dbGet -p2 top.insts.instTerms.net.name VSS].name
dbGet [dbGet -p2 top.insts.instTerms.net.name VDD].name
</t>
        </r>
      </text>
    </comment>
    <comment ref="F168" authorId="0" shapeId="0" xr:uid="{9BDD3F8C-67E4-47C2-B5AC-928C375F888A}">
      <text>
        <r>
          <rPr>
            <sz val="9"/>
            <color indexed="81"/>
            <rFont val="Tahoma"/>
            <family val="2"/>
          </rPr>
          <t xml:space="preserve">Author:
1.Below spec is for all process nodes.
HSPHY (DDRIO is not in DS):   
     - DS use M10 as top metal and use M9 as top routing layer. 
     - Other small slices use M9 as top metal and use M8 as top routing layer.
HPPHY (DDRIO is in DS and DS has Regulator, DDRIO pin is "TOP_METAL-1"):
     - DS use PHY "TOP_Metal" as top metal and use PHY "TOP_Metal - 1" as top routing layer. 
     - Other small slices use M9 as top metal and use M8 as top routing layer.    
HPPHY (DDRIO is in DS and DS has not Regulator, DDRIO pin is "TOP_METAL-1"):
     - DS use PHY "TOP_Metal - 1" as top metal and use PHY "TOP_Metal - 2" as top routing layer. 
     - Other small slices use M9 as top metal and use M8 as top routing layer. </t>
        </r>
      </text>
    </comment>
    <comment ref="F170" authorId="0" shapeId="0" xr:uid="{D51FBA57-8EC7-4F1B-A0C8-B5773DB3D2E0}">
      <text>
        <r>
          <rPr>
            <sz val="9"/>
            <color indexed="81"/>
            <rFont val="Tahoma"/>
            <family val="2"/>
          </rPr>
          <t xml:space="preserve">Author:
Frontend agree to instantiate the correct VT instance for delay element and read entry flops (cdn_hs_phy_hic_rd_entry_dff) in future designs.
Just double check the netlist released from Frontend.
If it is not expected, please double check with them. 
</t>
        </r>
      </text>
    </comment>
    <comment ref="F171" authorId="0" shapeId="0" xr:uid="{988C18A8-D6C9-43DD-96E0-B21934E2A0E6}">
      <text>
        <r>
          <rPr>
            <b/>
            <sz val="9"/>
            <color indexed="81"/>
            <rFont val="Tahoma"/>
            <family val="2"/>
          </rPr>
          <t xml:space="preserve">Author: 2020.Dec.14
• T5GP Blue man/Tachyum/T7G Ampere  : Must check this constraint as the DA cell used in these projects is new DA structure. 
• For other projects, if the stage is close to final and DA cell library will not change, above constraint is not a hard rule. 
• For new projects, please follow the above constraint. 
</t>
        </r>
      </text>
    </comment>
    <comment ref="F175" authorId="0" shapeId="0" xr:uid="{AE0D5AA4-06A0-4959-8340-0FE7474CD21D}">
      <text>
        <r>
          <rPr>
            <b/>
            <sz val="9"/>
            <color indexed="81"/>
            <rFont val="Tahoma"/>
            <family val="2"/>
          </rPr>
          <t>Author:</t>
        </r>
        <r>
          <rPr>
            <sz val="9"/>
            <color indexed="81"/>
            <rFont val="Tahoma"/>
            <family val="2"/>
          </rPr>
          <t xml:space="preserve">
IE/IL QRT skew requirement is very strict, we must take care of that in floorplan stage.
Place output delay element close to DL cell, make the net delay from delay element to DL cell IE/IL pins equal to 0.
Place the mimic cells(two nand gate from delay line output to IL pin of DL cell) close to delay element output and DL cell input pins. 
Pay attention to the IE/IL pin slew difference.</t>
        </r>
      </text>
    </comment>
    <comment ref="F178" authorId="0" shapeId="0" xr:uid="{0CAB5556-759F-4CB0-B9A2-EA27EBFFC331}">
      <text>
        <r>
          <rPr>
            <b/>
            <sz val="9"/>
            <color indexed="81"/>
            <rFont val="Tahoma"/>
            <family val="2"/>
          </rPr>
          <t xml:space="preserve">Author:
</t>
        </r>
        <r>
          <rPr>
            <sz val="9"/>
            <color indexed="81"/>
            <rFont val="Tahoma"/>
            <family val="2"/>
          </rPr>
          <t>AMS team will include the DCC cell and Regulator cell integration guide in delivery package. Please check with AMS team if that's not available.
It's must that review the regulator physical design with AMS team.
Refer to below link:
https://cadence.sharepoint.com/:w:/r/sites/DDRHardIP/_layouts/15/Doc.aspx?sourcedoc=%7B83A82D55-4244-4F77-A575-5D325F3F11EC%7D&amp;file=custom_cells.docx&amp;action=default&amp;mobileredirect=true</t>
        </r>
      </text>
    </comment>
    <comment ref="F179" authorId="0" shapeId="0" xr:uid="{DA2A23A3-9150-4E01-92A9-A24605091634}">
      <text>
        <r>
          <rPr>
            <b/>
            <sz val="9"/>
            <color indexed="81"/>
            <rFont val="Tahoma"/>
            <family val="2"/>
          </rPr>
          <t xml:space="preserve">Author:
</t>
        </r>
        <r>
          <rPr>
            <sz val="9"/>
            <color indexed="81"/>
            <rFont val="Tahoma"/>
            <family val="2"/>
          </rPr>
          <t>Currently there are three senarios, please make sure the XTC INPUT pins are not floating and connected correctly.
1. For some new version DDRIO with XTC_TIELO (signal attribute), RTL will make the connection and PD don't need to change the netlist. PD only need to follow neltist to connection the PINs physically. No LEC issue. 
2. For DDRIO without XTC_TIELO pin, RTL tie the XTC INPUT pins(which need to be tied to VSS) to 1’b0. PD just need to skip the XTC input pins when inserting the tielo cell like below and use the close VSS pin of DDRIO to make the physical connection. No LEC workaround and issue. (RTL will make the change based on 2022Q1)
addTieHiLo -prefix [dbgDesignName]_TIEHILO -excludePin /projects/Fungible_S2_N7_40bits_4800_phy/work/cadence_phy_cdn_hs_phy_top/yangliu/apr/scripts/PNR/Tielow_excludePin.tcl
3.  For the designs which are based on branches before 2022Q1 and DDRIO has not XTC_TIELO pin, RTL either let the XTC INPUT pins floating or hook up two input XTC INPUT pins with one net without driver. PD need to modify the netlist to connect XTC input pins which is floating or has not driver to VSS (AMS team created a “VSS” pin nearby the PAD*_HV_IN_XTC pins for easier connection for DDRIO.)
As we set "set flatten mode -library_pin_verificaiton" and will treat DDRIO as blackbox, so LEC will fail. You can add extra LEC constraint to bypass this false LEC failures like below,
add primary input cdn_hs_phy_asic_pads/*_pad_*/PAD*_HV_IN_XTC -nocut -both
add pin constraints 0 cdn_hs_phy_asic_pads/*_pad_*/PAD*_HV_IN_XTC -both
For this case, need to pay more attention to the "Floating Instance terminals" and "Undriven Net"  in check_design report to make sure the XTC input pins are connected correctly.
4. TC51/TC51A/TC49 removed the XTC crosstalk pins. So TC51 based customer programs will not have this issue.
Refer to below link:
https://cadence.sharepoint.com/:p:/r/sites/DDRHardIP/_layouts/15/Doc.aspx?sourcedoc=%7BFDB73380-FAE3-4B3A-8396-12A1DB319281%7D&amp;file=DDRIO_XTC_Implementation_Guideline.pptx&amp;action=edit&amp;mobileredirect=true</t>
        </r>
      </text>
    </comment>
    <comment ref="F186" authorId="0" shapeId="0" xr:uid="{FFD8BBAF-2A43-4193-8203-1DE173450878}">
      <text>
        <r>
          <rPr>
            <b/>
            <sz val="9"/>
            <color indexed="81"/>
            <rFont val="Tahoma"/>
            <family val="2"/>
          </rPr>
          <t xml:space="preserve">Author: </t>
        </r>
        <r>
          <rPr>
            <sz val="9"/>
            <color indexed="81"/>
            <rFont val="Tahoma"/>
            <family val="2"/>
          </rPr>
          <t xml:space="preserve">
For some version IO, even the IO has VDD_ISO and NSLEEP* signals. But there is no power gating inside DDRIO. So the VDD decap array still need to add to VDD instead of VDD_ISO. 
</t>
        </r>
        <r>
          <rPr>
            <b/>
            <sz val="9"/>
            <color indexed="81"/>
            <rFont val="Tahoma"/>
            <family val="2"/>
          </rPr>
          <t>PLEASE double check the DDRIO datasheet or check with AMS team for this part.</t>
        </r>
        <r>
          <rPr>
            <sz val="9"/>
            <color indexed="81"/>
            <rFont val="Tahoma"/>
            <family val="2"/>
          </rPr>
          <t xml:space="preserve">
</t>
        </r>
      </text>
    </comment>
    <comment ref="F187" authorId="0" shapeId="0" xr:uid="{4560F0CD-D1E7-4E39-9D8B-A5D4FBA848B1}">
      <text>
        <r>
          <rPr>
            <b/>
            <sz val="9"/>
            <color indexed="81"/>
            <rFont val="Tahoma"/>
            <family val="2"/>
          </rPr>
          <t xml:space="preserve">Author:
</t>
        </r>
        <r>
          <rPr>
            <sz val="9"/>
            <color indexed="81"/>
            <rFont val="Tahoma"/>
            <family val="2"/>
          </rPr>
          <t xml:space="preserve">350fF include the bump cap. 
Check in Innovus for example: 
setExtractRCMode -effortLevel signoff
extractRC
report_net_parasitics pad_mem_data[0] -rc_corner rcworst_CCworst_T_125c 
Please check with AMS team if you can not meet the target before you cut PG or other actions which may degrade other specs. For some cases, AMS team may can relax the requirement based on data rate and IO design margin. </t>
        </r>
      </text>
    </comment>
    <comment ref="F189" authorId="0" shapeId="0" xr:uid="{6E940057-845A-42AD-B4B4-CD8144424705}">
      <text>
        <r>
          <rPr>
            <sz val="9"/>
            <color indexed="81"/>
            <rFont val="Tahoma"/>
            <family val="2"/>
          </rPr>
          <t xml:space="preserve">Author:
AMS team naming rule: 
• Gen1 IO: ddr100/ddr200
• Gen2 IO: ddr300/ddr400/ddr500/ddr600/ddr700
• Gen3 IO: ddr800
</t>
        </r>
      </text>
    </comment>
    <comment ref="F190" authorId="0" shapeId="0" xr:uid="{CE88F3E4-424E-407D-9EE5-C5928E4A076A}">
      <text>
        <r>
          <rPr>
            <sz val="9"/>
            <color indexed="81"/>
            <rFont val="Tahoma"/>
            <family val="2"/>
          </rPr>
          <t xml:space="preserve">Author:
VDDQX bump is needed only for LPDDR4X and LPDDR5.For some combo DDRIO (support LPDDR4X/5 and other protocols), if DDR_PHY doesn’t support LPDDR4X or LPDDR5, customers don’t need to assign VDDQX bump and only need to connect VDDQX pin of combo DDRIO to VDDQ bump. 
Please double confirm with IO team. 
Please always and only follow the "Memory Type" information in addendum to decide whether VDDQX bump is needed. If you have any question on addendum, please check with Jeffrey or Shashank. 
For LPDDR5, please assign 1 VDDQX per 2 CS pads. If there are 3~4 CS pads, please assign two VDDQX bumps close to the CS VDDQX IO region. </t>
        </r>
      </text>
    </comment>
    <comment ref="F191" authorId="0" shapeId="0" xr:uid="{44C9CB86-0C64-462B-A78B-74B8A79C293C}">
      <text>
        <r>
          <rPr>
            <sz val="9"/>
            <color indexed="81"/>
            <rFont val="Tahoma"/>
            <family val="2"/>
          </rPr>
          <t>Author:
1. Please double check whether Data Retention feature has "CKE/RST always on enabled" notes in addendum.
2.  If "CKE/RST always on enabled" is specified for Data Retention feature, that means VDDQ of CKE/RST is isolated from the VDDQ of other IOs so that customer side can power off the VDDQ of other IOs and keep VDDQ_AO of CKE/RST IO domain alive in system level for power saving in data_retention mode. Please create VDDQ_AO bump to support the seperated CKE/RST IO region.
3.  CDNS will not allow customer to configure "CKE/RST Always On domain = Enabled" for PHY that utilizes VDDQX. There is no VDDQX_AO senario. Please double check with PM and pre-sales team for any special case.
4. For non-DDR5 designs with CKE/RST always on enabled data retention feature, place the CKE/RST and data_retention pads to isolated VDDQ_AO CKE/RST IO domain.
5. For DDR5 or DDR5 combo with CKE/RST always on enabled feature, place the CS/CKE/RST and data_retention pads to isolated VDDQ_AO CKE/RST IO domain.  
6. For LP5/LP4X with VDDQX power supply, please keep data_retention pad in VDDQ domain but not in CKE/RST VDDQX domain. Please double check with AMS team.</t>
        </r>
      </text>
    </comment>
    <comment ref="F194" authorId="0" shapeId="0" xr:uid="{4C20169D-A241-445C-9D44-CC1FD1ACEBD4}">
      <text>
        <r>
          <rPr>
            <b/>
            <sz val="9"/>
            <color indexed="81"/>
            <rFont val="Tahoma"/>
            <family val="2"/>
          </rPr>
          <t>Author: 
It's better to sent the IO order to IO team to double confirm.</t>
        </r>
        <r>
          <rPr>
            <sz val="9"/>
            <color indexed="81"/>
            <rFont val="Tahoma"/>
            <family val="2"/>
          </rPr>
          <t xml:space="preserve">
</t>
        </r>
        <r>
          <rPr>
            <b/>
            <sz val="9"/>
            <color indexed="81"/>
            <rFont val="Tahoma"/>
            <family val="2"/>
          </rPr>
          <t xml:space="preserve">Must read the DDRIO datasheet as some special implementation guidance is specified in DDRIO datasheet only like ddr800* IO due to PHY implementation guide is a general implementation guide and can't cover all protocols and all IO versions. </t>
        </r>
      </text>
    </comment>
    <comment ref="F198" authorId="0" shapeId="0" xr:uid="{1E9CFB9A-4783-41BB-AB5D-708971BAF103}">
      <text>
        <r>
          <rPr>
            <b/>
            <sz val="9"/>
            <color indexed="81"/>
            <rFont val="Tahoma"/>
            <family val="2"/>
          </rPr>
          <t xml:space="preserve">Author:
For some new IO version, the data_retention function is merged into reset_n pad. Same as what we do for data_retention pad, we must connect the VDD_AO pin of reset_n pad to always on supply.
Please read the IO application notes carefully for this part. </t>
        </r>
      </text>
    </comment>
    <comment ref="F202" authorId="0" shapeId="0" xr:uid="{E2D8DAE5-FC02-4E9C-8F24-4D08F207F1E9}">
      <text>
        <r>
          <rPr>
            <b/>
            <sz val="9"/>
            <color indexed="81"/>
            <rFont val="Tahoma"/>
            <family val="2"/>
          </rPr>
          <t xml:space="preserve">Author:
MCI (Multi-channel interface) feature is in controller addendum. 
Please double check the controller addendum and double check with design team. </t>
        </r>
      </text>
    </comment>
    <comment ref="F203" authorId="0" shapeId="0" xr:uid="{066BDC01-EFFF-4E6B-B57C-FCD2490BF0CD}">
      <text>
        <r>
          <rPr>
            <b/>
            <sz val="9"/>
            <color indexed="81"/>
            <rFont val="Tahoma"/>
            <family val="2"/>
          </rPr>
          <t>Author:</t>
        </r>
        <r>
          <rPr>
            <sz val="9"/>
            <color indexed="81"/>
            <rFont val="Tahoma"/>
            <family val="2"/>
          </rPr>
          <t xml:space="preserve">
If “VDDA of PLL = VDD of PLL = Core voltage”, connect the VDDA/VDD to separated VDD_PLL bump for better CK jitter due to our PHY Core VDD is noisy. (single voltage PLL)
If “VDDA= higher voltage” and “VDD = Core voltage”,  connect VDDA to VDD_PLL bump and connect VDD to core VDD.  (dual voltage PLL)
Pay attention to the PLL Power/Ground resistance. Need to meet the integration guide(include FRACN and DESKEW PLL)</t>
        </r>
      </text>
    </comment>
    <comment ref="F204" authorId="0" shapeId="0" xr:uid="{06A8B584-8641-4888-8C56-3D23C52548C1}">
      <text>
        <r>
          <rPr>
            <sz val="9"/>
            <color indexed="81"/>
            <rFont val="Tahoma"/>
            <family val="2"/>
          </rPr>
          <t>Author:
The decision from the package and design team is to use VDDAPLL_* bump name to provide the high voltage power supply for VDDA pin of all PHYs using dual rail PLL.</t>
        </r>
      </text>
    </comment>
    <comment ref="F206" authorId="0" shapeId="0" xr:uid="{0AE57D8D-A027-43E2-B26D-9FA5B6DE9FE7}">
      <text>
        <r>
          <rPr>
            <sz val="9"/>
            <color indexed="81"/>
            <rFont val="Tahoma"/>
            <family val="2"/>
          </rPr>
          <t xml:space="preserve">Author: 
Please check the implementation details specified in Hard PHY implementation guide. 
</t>
        </r>
      </text>
    </comment>
    <comment ref="F207" authorId="0" shapeId="0" xr:uid="{4908EDCC-619A-4A60-8916-3CED2DFB913B}">
      <text>
        <r>
          <rPr>
            <b/>
            <sz val="9"/>
            <color indexed="81"/>
            <rFont val="Tahoma"/>
            <family val="2"/>
          </rPr>
          <t>Author:</t>
        </r>
        <r>
          <rPr>
            <sz val="9"/>
            <color indexed="81"/>
            <rFont val="Tahoma"/>
            <family val="2"/>
          </rPr>
          <t xml:space="preserve">
Place the cdn_hs_phy*/inst_dfi_dly module close to the DFI interface pins and make sure the DFI interface registers are close to DFI pins in final database. 
Please take care all clocks balancing to the DFI pins except the opcg clock. 
Please double check the below dfi input/output skew report in STA environment rpts directory to make sure the skew is small to let SOC side has the largest setup/hold margin.
cdn_hs_phy_top.dfi_inputs.skew.rpt.ets
cdn_hs_phy_top.dfi_outputs.skew.rpt.ets</t>
        </r>
      </text>
    </comment>
    <comment ref="F209" authorId="0" shapeId="0" xr:uid="{39415348-F926-44E1-AFEA-401F0DB205DE}">
      <text>
        <r>
          <rPr>
            <b/>
            <sz val="9"/>
            <color indexed="81"/>
            <rFont val="Tahoma"/>
            <family val="2"/>
          </rPr>
          <t>Author:
Follow the guidance as below.</t>
        </r>
        <r>
          <rPr>
            <sz val="9"/>
            <color indexed="81"/>
            <rFont val="Tahoma"/>
            <family val="2"/>
          </rPr>
          <t xml:space="preserve">
https://cadence.sharepoint.com/:x:/r/sites/DDRHardIP/_layouts/15/Doc.aspx?sourcedoc=%7B5ABAB142-2B60-4676-928B-18717C8CD51E%7D&amp;file=DDR_PHY_IP_AMS_Integration_and_Signoff_Check_List.V1.2.xlsx&amp;action=default&amp;mobileredirect=true</t>
        </r>
      </text>
    </comment>
    <comment ref="F210" authorId="0" shapeId="0" xr:uid="{0B3A6CDB-A24C-45EE-B67B-83E38616F00E}">
      <text>
        <r>
          <rPr>
            <b/>
            <sz val="9"/>
            <color indexed="81"/>
            <rFont val="Tahoma"/>
            <family val="2"/>
          </rPr>
          <t>Author:</t>
        </r>
        <r>
          <rPr>
            <sz val="9"/>
            <color indexed="81"/>
            <rFont val="Tahoma"/>
            <family val="2"/>
          </rPr>
          <t xml:space="preserve">
Max. data rate :  VDDPLL Extra decap /PLL should be added by PD.
12800Mbps 130pF/PLL min.
11200Mbps 123pF/PLL min.
9600Mbps 115pF/PLL min.
8800Mbps 111pF/PLL min.
8400Mbps 109pF/PLL min.
7200Mbps 104pF/PLL min.
6400Mbps 100pF/PLL min.
6000Mbps 94pF/PLL min.
5600Mbps 88pF/PLL min.
5500Mbps 86pF/PLL min.
5200Mbps 81pF/PLL min.
4800Mbps 75pF/PLL min.
4400Mbps 69pF/PLL min.
4266Mbps 67pF/PLL min.
4000Mbps 63pF/PLL min.
3733Mbps 58pF/PLL min.
3600Mbps 56pF/PLL min.
3200Mbps 50pF/PLL min.
2750Mbps 50pF/PLL min.
2133Mbps 50pF/PLL min.
1600Mbps 50pF/PLL min.
1066Mbps 50pF/PLL min.
55Mbps 50pF/PLL min.
Follow guidance in 
https://cadence.sharepoint.com/:x:/r/sites/DDRHardIP/_layouts/15/Doc.aspx?sourcedoc=%7B5ABAB142-2B60-4676-928B-18717C8CD51E%7D&amp;file=DDR_PHY_IP_AMS_Integration_and_Signoff_Check_List.V1.2.xlsx&amp;action=default&amp;mobileredirect=true</t>
        </r>
      </text>
    </comment>
    <comment ref="F211" authorId="0" shapeId="0" xr:uid="{19592297-7708-4C69-9229-A3F0CF485570}">
      <text>
        <r>
          <rPr>
            <b/>
            <sz val="9"/>
            <color indexed="81"/>
            <rFont val="Tahoma"/>
            <family val="2"/>
          </rPr>
          <t xml:space="preserve">Author:
It's really important that PHY_TOP owner read the phy implementation guide and DDRIO/PLL documents to aviod miss anything important. 
</t>
        </r>
        <r>
          <rPr>
            <sz val="9"/>
            <color indexed="81"/>
            <rFont val="Tahoma"/>
            <family val="2"/>
          </rPr>
          <t>It's impossible that</t>
        </r>
        <r>
          <rPr>
            <b/>
            <sz val="9"/>
            <color indexed="81"/>
            <rFont val="Tahoma"/>
            <family val="2"/>
          </rPr>
          <t xml:space="preserve"> </t>
        </r>
        <r>
          <rPr>
            <sz val="9"/>
            <color indexed="81"/>
            <rFont val="Tahoma"/>
            <family val="2"/>
          </rPr>
          <t xml:space="preserve">PHY implementation guide covers all protocols and all special usage. For example, there are many special IO integration guidelines covered by the DDRIO datasheet like LPDDR5 ddr800 IO. </t>
        </r>
      </text>
    </comment>
    <comment ref="F212" authorId="0" shapeId="0" xr:uid="{4003B14E-E566-4930-81E3-4F5CFAF5E49D}">
      <text>
        <r>
          <rPr>
            <sz val="9"/>
            <color indexed="81"/>
            <rFont val="Tahoma"/>
            <family val="2"/>
          </rPr>
          <t xml:space="preserve">Author:
1. Pay attention that the statement is only for the case using internal data_retention pad.
2. VDD_AO supply pin from SOC side or VDD_AO bump is not needed for external data_retention pad as data_retention signal comes from bump and VDDGONE chain powered by VDDQ or VDDQX.
3. Pay attention to the item "Does customer intend to shutoff PHY VDD externally" in pre2post checklist. 
4. If "power gating" feature is "yes" in addendum, that means PHY VDD can be local shut off by power gating cell controlled by SOC PMU. PHY VDD bumps are still always on. VDD_AO pin of internal data_retention can be connected to PHY always on VDD before power gating cell. Suppose "Does customer intend to shutoff VDD externally" in pre2post checklist is "no" as that is not needed and VDD_AO bump is not needed either. Please double check.
5. If "Does customer intend to shutoff PHY VDD externally = no" and "data_retention = Yes,internal", VDD_AO pin of internal data retention pad needs to be connected to PHY always on VDD.
</t>
        </r>
      </text>
    </comment>
    <comment ref="F213" authorId="0" shapeId="0" xr:uid="{78EC2290-D94C-4D5B-8319-FF8831870FCD}">
      <text>
        <r>
          <rPr>
            <b/>
            <sz val="9"/>
            <color indexed="81"/>
            <rFont val="Tahoma"/>
            <family val="2"/>
          </rPr>
          <t>Author:</t>
        </r>
        <r>
          <rPr>
            <sz val="9"/>
            <color indexed="81"/>
            <rFont val="Tahoma"/>
            <family val="2"/>
          </rPr>
          <t xml:space="preserve">
QC criteria
VDDPLL decap target  &gt;25pF per PLL * (# of PLLs). Must meet the minimum target. Usually total VDDPLL decap &lt;1 nF 
VDD decap target ~ 10nF per 16-bit PHY, +/-30% is ok 
VDDQCK decap target ~ decap/IO target * (# of clock IO cells) , +/-20% is ok
VDDQ decap target ~ decap/IO target * (# of active IO cells) , +/-20% is ok 
VDDQX decap target &gt;5pF per IO * (# of active IO cells). Must meet the minimum target. Usually total VDDQX decap &lt;1 nF </t>
        </r>
      </text>
    </comment>
    <comment ref="F214" authorId="0" shapeId="0" xr:uid="{4FD91D02-2058-4259-BA7B-07AA6EFA3816}">
      <text>
        <r>
          <rPr>
            <sz val="9"/>
            <color indexed="81"/>
            <rFont val="Tahoma"/>
            <family val="2"/>
          </rPr>
          <t xml:space="preserve">Author: 
Based on BRCM's feedback, the scan pins including the slice_scan_* pins need to be interleaved like (top_scan_in[0],top_scan_out[0],top_scan_in[1],top_scan_out[1]……). </t>
        </r>
      </text>
    </comment>
    <comment ref="F215" authorId="0" shapeId="0" xr:uid="{E2859092-90DE-405E-A2C9-BCD322D229B8}">
      <text>
        <r>
          <rPr>
            <b/>
            <sz val="9"/>
            <color indexed="81"/>
            <rFont val="Tahoma"/>
            <family val="2"/>
          </rPr>
          <t>Author:
Follow the guidance as below,
https://cadence.sharepoint.com/sites/DDRHardIP/DDR%20IP%20Development%20Flow/Forms/AllItems.aspx?id=%2Fsites%2FDDRHardIP%2FDDR%20IP%20Development%20Flow%2FProcess%5FMoniter%5FImplementation%5FGuide%2Epdf&amp;parent=%2Fsites%2FDDRHardIP%2FDDR%20IP%20Development%20Flow</t>
        </r>
        <r>
          <rPr>
            <sz val="9"/>
            <color indexed="81"/>
            <rFont val="Tahoma"/>
            <family val="2"/>
          </rPr>
          <t xml:space="preserve">
</t>
        </r>
      </text>
    </comment>
    <comment ref="F221" authorId="0" shapeId="0" xr:uid="{7837B177-ACD4-4AF5-B500-BCE8BAD35056}">
      <text>
        <r>
          <rPr>
            <b/>
            <sz val="9"/>
            <color indexed="81"/>
            <rFont val="Tahoma"/>
            <family val="2"/>
          </rPr>
          <t>Author:</t>
        </r>
        <r>
          <rPr>
            <sz val="9"/>
            <color indexed="81"/>
            <rFont val="Tahoma"/>
            <family val="2"/>
          </rPr>
          <t xml:space="preserve">
GROUP selectChecks "ARC_?"
DRC SELECT CHECK selectChecks
//#Required switches:
#define FULL_CHIP                           // Full chip mode
#define ARC_CHECKS                          "ON"                          // Enable, select, or disable arc checks
</t>
        </r>
      </text>
    </comment>
    <comment ref="F249" authorId="0" shapeId="0" xr:uid="{D2FFF923-37F2-4134-9CB8-66A89B8372C4}">
      <text>
        <r>
          <rPr>
            <b/>
            <sz val="9"/>
            <color indexed="81"/>
            <rFont val="Tahoma"/>
            <family val="2"/>
          </rPr>
          <t>Author:</t>
        </r>
        <r>
          <rPr>
            <sz val="9"/>
            <color indexed="81"/>
            <rFont val="Tahoma"/>
            <family val="2"/>
          </rPr>
          <t xml:space="preserve">
Pay attention to the Quantus tool version used(need to matured than Foundry recommended Quantus version)
TSMC example: /process/tsmcN5/data/g/QRC/15M1X1Xb1Xe1Ya1Yb5Y2Yy2R_SHDMIM_UT/current/Recommended_21.11-s682.txt
SEC example: (EDA TOOL SECTION) /process/sec4/data/lpp/DOCS/Samsung_Foundry_LN04LPP_SFDK_Sign-Off_Document_REV1.01.pdf
INTL example: /process/intl22/data/p1222_29/PDK/pdk224_r0.9_cdns/doc/TOOLVERSIONS</t>
        </r>
      </text>
    </comment>
    <comment ref="F291" authorId="0" shapeId="0" xr:uid="{1538D542-886C-4C14-8914-D9F083ADE03F}">
      <text>
        <r>
          <rPr>
            <b/>
            <sz val="9"/>
            <color indexed="81"/>
            <rFont val="Tahoma"/>
            <family val="2"/>
          </rPr>
          <t xml:space="preserve">Author: 
Double check whether lpe based spice netlist is specified in create_spice_deck.tcl of STA environment and the version is correct. 
Double check with Balbeer whether DCC cell lpe based spice netlist version is correct. 
</t>
        </r>
      </text>
    </comment>
    <comment ref="F321" authorId="0" shapeId="0" xr:uid="{ADEA8A63-AF85-40FF-AC64-A273931C2D74}">
      <text>
        <r>
          <rPr>
            <sz val="9"/>
            <color indexed="81"/>
            <rFont val="Tahoma"/>
            <family val="2"/>
          </rPr>
          <t xml:space="preserve">Author:
Use CDNS wrapper spice model if that is available and that matches to AMS team EMIR environment. 
Use lpe_spice to generate the standard cell library PGV view. 
For example:
set_pg_library_mode \
    -spice_corners        {ir_em} \
    -spice_models         /process/tsmcN12/data/ffc/PDK/current/models/current/ir_em.scs \
</t>
        </r>
      </text>
    </comment>
    <comment ref="F348" authorId="0" shapeId="0" xr:uid="{252E7B90-B874-4F98-A74C-27BF079F00E2}">
      <text>
        <r>
          <rPr>
            <b/>
            <sz val="9"/>
            <color indexed="81"/>
            <rFont val="Tahoma"/>
            <family val="2"/>
          </rPr>
          <t xml:space="preserve">Author:
Can cover VDDR strapes to the Regulator VDDR pins and set the Regulator VDDR strapes center points on Regulator as the VDDR power source points.
Can run dynamic power for VDDR domain to get the total capacitance and confirm that with AMS team. Regulator has load capacitance range requirement. </t>
        </r>
      </text>
    </comment>
    <comment ref="F385" authorId="0" shapeId="0" xr:uid="{7C5CB4B6-741A-4D95-A4CF-9768A58F15FD}">
      <text>
        <r>
          <rPr>
            <sz val="9"/>
            <color indexed="81"/>
            <rFont val="Tahoma"/>
            <family val="2"/>
          </rPr>
          <t xml:space="preserve">Author:
Pay attention to the Below WARN message in lvs.rep.cls report
#####  Run Summary          :   [WARN]  Extraction Warnings (refer to Extraction Report File)
#####                                :   [WARN]  Top Cell Has Extra Pins
#####                                :   [INFO]  ERC Results: Empty
#####                                :   [INFO]  Some Sections Have Been Truncated
#####                                :   [INFO]  Unconnected Corresponding Top Cell Pin(s) Exists
Pay attention to the message in lvs.rep
Use verifyConnectivity in Innovus to double check whether  the net connection is expected.  
Use "-bumpAsPin" option for PHY_TOP defOut command.
</t>
        </r>
      </text>
    </comment>
    <comment ref="F430" authorId="0" shapeId="0" xr:uid="{E22BA3D9-7613-4391-84A2-96F291147431}">
      <text>
        <r>
          <rPr>
            <b/>
            <sz val="9"/>
            <color indexed="81"/>
            <rFont val="Tahoma"/>
            <family val="2"/>
          </rPr>
          <t>Author:</t>
        </r>
        <r>
          <rPr>
            <sz val="9"/>
            <color indexed="81"/>
            <rFont val="Tahoma"/>
            <family val="2"/>
          </rPr>
          <t xml:space="preserve">
When we prepare the PERC database to Mentor. Please ask Mentor to run CNOD check too if CNOD check is needed for some process. </t>
        </r>
      </text>
    </comment>
    <comment ref="F431" authorId="0" shapeId="0" xr:uid="{EC3526AB-707D-43E5-9410-3DA127012E3F}">
      <text>
        <r>
          <rPr>
            <sz val="9"/>
            <color indexed="81"/>
            <rFont val="Tahoma"/>
            <family val="2"/>
          </rPr>
          <t xml:space="preserve">Author:
• For DDR project with only one protocol, set Typical voltage for PERC run. 
   For example, for DDR5 VDDQ(min:1.045V/typical:1.1V/max:1.17V), set voltage as 1.1V.
• For DDR project with more than one protocol, set Maximum Typical voltage for PERC run. 
   For example, for DDR5(VDDQ: min:1.045V/typical:1.1V/max:1.17V)/DDR4(VDDQ : min:1.14V/typical:1.2V/max:1.26V), please set DDR4 VDDQ typical voltage (1.2V) for PERC run.
• For TC with combo feature and combo IO like DDR5(VDDQ: typical 1.1V)/LPDDR5(VDDQ:0.5V or 0.3V) combo,  ESD diode and clamp in DDRIO will be IO device, so still set high voltage (DDR5 VDDQ 1.1V) as the PERC voltage. 
• Similiar practice for LPDDR protocols. Choose the Maximum Typical Voltage.
• For project with ND/OD library set, choose OD typical voltage for PERC run.
</t>
        </r>
      </text>
    </comment>
    <comment ref="F438" authorId="0" shapeId="0" xr:uid="{0D335779-F19D-4466-81CD-4EE66CC81822}">
      <text>
        <r>
          <rPr>
            <b/>
            <sz val="9"/>
            <color indexed="81"/>
            <rFont val="Tahoma"/>
            <family val="2"/>
          </rPr>
          <t>Author: Latest IPTag content synced with Tobing:</t>
        </r>
        <r>
          <rPr>
            <sz val="9"/>
            <color indexed="81"/>
            <rFont val="Tahoma"/>
            <family val="2"/>
          </rPr>
          <t xml:space="preserve">
### Date: 2023/0914
### Example DDR IP tag product name input for TSMC IP Tag writer
### comment start with "#".
### characters after " " (space) will be ignored
H       // DDR PHY Architecture. Fixed width [1], 1 character descriptive code. Codes: G = GDDR PHY, H = HS PHY, L = LP PHY, U = UT PHY, P = Phase PHY (obsolete)
P       // IP Type. Field Type: Fixed width [1], 1 character descriptive code. Codes: P = PHY, I = IO &amp; PLL Only
C       // IO Type Type/Vendor. IO type are differentiated to reflect differences in supported features and pin interface. Fixed width [1]. 1 character descriptive code. Codes: C = Cadence Design Systems, A = Aragio, B = Analog Bits, T = TSMC, S = ST, N = None/Not Applicable
F       // Package Type. Fixed width [1], 1 character descriptive code.  F = flip chip, U = ubump / micro bump, W = wirebond, X = macro does not contain IO bonding structures
S       // PLL Vendor. Fixed width [1], 1 character descriptive code.  S = Silicon Creations (For example, all </t>
        </r>
        <r>
          <rPr>
            <b/>
            <sz val="9"/>
            <color indexed="81"/>
            <rFont val="Tahoma"/>
            <family val="2"/>
          </rPr>
          <t>DDR programs</t>
        </r>
        <r>
          <rPr>
            <sz val="9"/>
            <color indexed="81"/>
            <rFont val="Tahoma"/>
            <family val="2"/>
          </rPr>
          <t xml:space="preserve"> use SC DESKEW PLL), C = Cadence Design Systems (for example,</t>
        </r>
        <r>
          <rPr>
            <b/>
            <sz val="9"/>
            <color indexed="81"/>
            <rFont val="Tahoma"/>
            <family val="2"/>
          </rPr>
          <t xml:space="preserve"> GDDR programs</t>
        </r>
        <r>
          <rPr>
            <sz val="9"/>
            <color indexed="81"/>
            <rFont val="Tahoma"/>
            <family val="2"/>
          </rPr>
          <t xml:space="preserve"> use CDNS DESKEW PLL), N = None/Not Applicable
C       // PHY Source. Fixed width [1], 1 character descriptive code.  C = Custom (for example,</t>
        </r>
        <r>
          <rPr>
            <b/>
            <sz val="9"/>
            <color indexed="81"/>
            <rFont val="Tahoma"/>
            <family val="2"/>
          </rPr>
          <t xml:space="preserve"> DDR programs</t>
        </r>
        <r>
          <rPr>
            <sz val="9"/>
            <color indexed="81"/>
            <rFont val="Tahoma"/>
            <family val="2"/>
          </rPr>
          <t>).  S = Standard predefined OTS (Off the shelf) configuration IP (for example,</t>
        </r>
        <r>
          <rPr>
            <b/>
            <sz val="9"/>
            <color indexed="81"/>
            <rFont val="Tahoma"/>
            <family val="2"/>
          </rPr>
          <t xml:space="preserve"> GDDR/Soundwire</t>
        </r>
        <r>
          <rPr>
            <sz val="9"/>
            <color indexed="81"/>
            <rFont val="Tahoma"/>
            <family val="2"/>
          </rPr>
          <t xml:space="preserve"> programs with only one configuration). 
_       // delimiter between phy type and protocol names
D4D3    // Protocol Code, the DDR protocol(s) supported by the design at the PHY level. Variable width, each protocol listed. Starting from the highest DDR protocol(s) to the lowest, then followed by highest LPDDR protocol(s). Field Contents: 2 or more character code with lookup table that will be common for all IP covered by this standard.  Codes: G6 = GDDR6, D5 = DDR5, D4 = DDR4, D3 = DDR3, L5 = LPDDR5, L4 = LPDDR4, L4X = LPDDR4X, L3 = LPDDR3, for L4&amp; L4X use L4L4X following alphabetical order
_       // delimiter between protocol names and process name
T7G     // Process Name, identifies the foundry and process node. This is a variable width field to accommodate differences between the naming conventions between different foundries.  Because it is a variable width field, a trailing delimiter is needed. Variable width, : n character descriptive code with table to provide clarification. Field Format: NGT, N = Code for foundry name G = Geometry T = Process variant Examples: T28HPM
$       // IP Tag delimiter between product name and configuration name
CTIME   // Release Date Code, Description: Code that uniquely identifies the design based on the date and time the final gds was released.  Considering that a large number of PHY configurations can be generated from the system, the release date code is used to guarantee each customer delivery has a unique code, within one minute granularity.  Field Type: Fixed width [13] Field Contents: Starts with character C, followed by 12 character date code in YYYYMMDDhhmm format, describing the date and time the design was released.  The time is captured in hour and minute in 24 hour format. Example: C202007231200
$       // IP Tag delimiter 
V       // PHY orientation following IO orientation, V = NS PHY, H = EW PHY
$       // IP Tag delimiter 
11M2XA1XD3XE2Y2R // Metal Stack info following foundry metal stack code
End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1" authorId="0" shapeId="0" xr:uid="{47EB55E0-E6B0-4725-B1EB-AE9D3FFF5D76}">
      <text>
        <r>
          <rPr>
            <sz val="9"/>
            <color indexed="81"/>
            <rFont val="Tahoma"/>
            <family val="2"/>
          </rPr>
          <t xml:space="preserve">Author: 
DDRIO has the LUP_* information. 
Customer need this information in early stage to avoid LUP DRC violations when they integrate our IP.
For dataslice with IO of FIRM PHY project and Hard PHY project, make sure the block lef file has LUP_* OBS information.
</t>
        </r>
      </text>
    </comment>
    <comment ref="F25" authorId="0" shapeId="0" xr:uid="{2AA57B47-EEAB-474F-8C3E-983FA4CA442A}">
      <text>
        <r>
          <rPr>
            <b/>
            <sz val="9"/>
            <color indexed="81"/>
            <rFont val="Tahoma"/>
            <family val="2"/>
          </rPr>
          <t xml:space="preserve">Author: 
The related_power_pin information must be correct otherwise there will be CLP issue on customer side. 
Please always double check the DDRIO Documents/Libs about the DDRIO related pin voltage and the detail PG connection in the design: </t>
        </r>
        <r>
          <rPr>
            <sz val="9"/>
            <color indexed="81"/>
            <rFont val="Tahoma"/>
            <family val="2"/>
          </rPr>
          <t xml:space="preserve">
</t>
        </r>
        <r>
          <rPr>
            <b/>
            <sz val="9"/>
            <color indexed="81"/>
            <rFont val="Tahoma"/>
            <family val="2"/>
          </rPr>
          <t xml:space="preserve">Please pay attention to below pins:
</t>
        </r>
        <r>
          <rPr>
            <sz val="9"/>
            <color indexed="81"/>
            <rFont val="Tahoma"/>
            <family val="2"/>
          </rPr>
          <t xml:space="preserve">
</t>
        </r>
        <r>
          <rPr>
            <b/>
            <sz val="9"/>
            <color indexed="81"/>
            <rFont val="Tahoma"/>
            <family val="2"/>
          </rPr>
          <t>data_retention:</t>
        </r>
        <r>
          <rPr>
            <sz val="9"/>
            <color indexed="81"/>
            <rFont val="Tahoma"/>
            <family val="2"/>
          </rPr>
          <t xml:space="preserve">          External(IO voltage) or Internal(Core voltage)? VDD_AO or VDD? 
</t>
        </r>
        <r>
          <rPr>
            <b/>
            <sz val="9"/>
            <color indexed="81"/>
            <rFont val="Tahoma"/>
            <family val="2"/>
          </rPr>
          <t xml:space="preserve">atb0_int/atb1_int:       </t>
        </r>
        <r>
          <rPr>
            <sz val="9"/>
            <color indexed="81"/>
            <rFont val="Tahoma"/>
            <family val="2"/>
          </rPr>
          <t xml:space="preserve">IO voltage, please double check the IO lib file.
</t>
        </r>
        <r>
          <rPr>
            <b/>
            <sz val="9"/>
            <color indexed="81"/>
            <rFont val="Tahoma"/>
            <family val="2"/>
          </rPr>
          <t>vgone_in/vgone_out for HPPHY dataslice:</t>
        </r>
        <r>
          <rPr>
            <sz val="9"/>
            <color indexed="81"/>
            <rFont val="Tahoma"/>
            <family val="2"/>
          </rPr>
          <t xml:space="preserve">  VDDGONE_HV dataslice interface pin, please check the VDDGONE_HV power pin in DDRIO lib. 
</t>
        </r>
        <r>
          <rPr>
            <b/>
            <sz val="9"/>
            <color indexed="81"/>
            <rFont val="Tahoma"/>
            <family val="2"/>
          </rPr>
          <t>CKE/RST bump pins</t>
        </r>
        <r>
          <rPr>
            <sz val="9"/>
            <color indexed="81"/>
            <rFont val="Tahoma"/>
            <family val="2"/>
          </rPr>
          <t xml:space="preserve">:        For LP4X/LP5, CKE/RST pads are in VDDQX domain. 
</t>
        </r>
        <r>
          <rPr>
            <b/>
            <sz val="9"/>
            <color indexed="81"/>
            <rFont val="Tahoma"/>
            <family val="2"/>
          </rPr>
          <t xml:space="preserve">CKE/RST/CS bump pins: </t>
        </r>
        <r>
          <rPr>
            <sz val="9"/>
            <color indexed="81"/>
            <rFont val="Tahoma"/>
            <family val="2"/>
          </rPr>
          <t xml:space="preserve">  For DDR5/DDR4, VDDQ or VDDQ_AO?
</t>
        </r>
        <r>
          <rPr>
            <b/>
            <sz val="9"/>
            <color indexed="81"/>
            <rFont val="Tahoma"/>
            <family val="2"/>
          </rPr>
          <t xml:space="preserve">CKE/RST bump pins:  </t>
        </r>
        <r>
          <rPr>
            <sz val="9"/>
            <color indexed="81"/>
            <rFont val="Tahoma"/>
            <family val="2"/>
          </rPr>
          <t xml:space="preserve">       For non LP5/4X and non DDR5/4, VDDQ or VDDQ_AO?
</t>
        </r>
        <r>
          <rPr>
            <b/>
            <sz val="9"/>
            <color indexed="81"/>
            <rFont val="Tahoma"/>
            <family val="2"/>
          </rPr>
          <t>Memory Clock bump pins:</t>
        </r>
        <r>
          <rPr>
            <sz val="9"/>
            <color indexed="81"/>
            <rFont val="Tahoma"/>
            <family val="2"/>
          </rPr>
          <t xml:space="preserve"> VDDQ_CK
</t>
        </r>
      </text>
    </comment>
    <comment ref="F26" authorId="0" shapeId="0" xr:uid="{35E8F1E6-AC44-4563-90C7-DC830707B9C4}">
      <text>
        <r>
          <rPr>
            <b/>
            <sz val="9"/>
            <color indexed="81"/>
            <rFont val="Tahoma"/>
            <family val="2"/>
          </rPr>
          <t>Author:</t>
        </r>
        <r>
          <rPr>
            <sz val="9"/>
            <color indexed="81"/>
            <rFont val="Tahoma"/>
            <family val="2"/>
          </rPr>
          <t xml:space="preserve">
module load synopsys/lc_Q-2019.12-SP2
bsub -q ddr -P V4H -Is lc_shell
lc_shell&gt;
read_lib $path/${library_name}.lib
write_lib ${library_name} -output $path/${library_name}.db
As the library compiler license is limited, please exit the library compiler when you finish the lib LC QA.</t>
        </r>
      </text>
    </comment>
    <comment ref="F38" authorId="0" shapeId="0" xr:uid="{3661E358-FCAA-486A-811C-CF698325F7B3}">
      <text>
        <r>
          <rPr>
            <sz val="9"/>
            <color indexed="81"/>
            <rFont val="Tahoma"/>
            <family val="2"/>
          </rPr>
          <t xml:space="preserve">Author:
For MIG DDR program:
Pay attention to the option "-physical" for addInst during floorplan stage. Need to special care about the "cdns_ddr_vddqx_cr_h|v and cdns_ddr_vddq_v|h" in Gen3IO(ddr800*). For this cells, we can't add "-physical" options due to these cells have NSLEEP* pins and need to stitch to NSLEEP chain. Then the function netlist should have these cells.
</t>
        </r>
      </text>
    </comment>
    <comment ref="F83" authorId="0" shapeId="0" xr:uid="{956F0B9E-8CFC-49D0-A1E8-C1C80895BB16}">
      <text>
        <r>
          <rPr>
            <b/>
            <sz val="9"/>
            <color indexed="81"/>
            <rFont val="Tahoma"/>
            <family val="2"/>
          </rPr>
          <t>Author:</t>
        </r>
        <r>
          <rPr>
            <sz val="9"/>
            <color indexed="81"/>
            <rFont val="Tahoma"/>
            <family val="2"/>
          </rPr>
          <t xml:space="preserve">
Current signoff.wb will add dummy block layers by default (signoff.kit.tcl will call wbAddExcl)
Besides that, in your GDS map file, you need to add some lines to map the custom layer to dummy blockage gds layer with proper datatype (you can find the dummy blockage GDS layer and datatype in DRC rule deck)
For example, for TSMCN5, add belows to original gds map file released from TSMC.
#PD add
DM0EXCL  custom          150     30
DM1EXCL   custom         150     31
DM2EXCL  custom          150     32
.....
DVIA14EXCL custom        150     64
DVIA15EXCL custom        150     65
DVIA16EXCL custom        150     66
FEOLBLK custom              150     27</t>
        </r>
      </text>
    </comment>
    <comment ref="F91" authorId="0" shapeId="0" xr:uid="{D4F0693B-5C58-4684-B2C1-6A69E3C4C599}">
      <text>
        <r>
          <rPr>
            <b/>
            <sz val="9"/>
            <color indexed="81"/>
            <rFont val="Tahoma"/>
            <family val="2"/>
          </rPr>
          <t xml:space="preserve">Author: 
For example: 
The IPTAG information of one DDR PHY is HPCFSC_L5L4X_T7G$C202103030948$H$15M1X1Xa1Ya5Y2Yy2Yx2R
The &lt;foundry&amp;node&gt; name is T7G
So the prefix name for cdn_hs_phy_top should be cdn_ddr_T7G_cdn_hs_phy_top_
</t>
        </r>
      </text>
    </comment>
    <comment ref="F141" authorId="0" shapeId="0" xr:uid="{0DAE824E-1D21-41B0-980F-E11311AA944B}">
      <text>
        <r>
          <rPr>
            <sz val="9"/>
            <color indexed="81"/>
            <rFont val="Tahoma"/>
            <family val="2"/>
          </rPr>
          <t xml:space="preserve">Author:
For example:
micron.boise.phy_3dxp.DDR4_CTRL_PHY NS Initial Delivery (IPversion: r100v0p1) 
Naming rule:
- The revision field indicates the major revision of the IP, the delivery type (maturity level) of the delivery (initial/stable/final), and the number times a delivery of this maturity level has been released.
- The revision format is as follows
   o “r###” : Main revision of IP – does not change during development cycle
   o “v#p#” : Maturity level of IP – indicates the type of delivery.  The specific code descriptions are as follows:
               0.1 = “v0p1” = Initial
               0.3 = “v0p3” = Initial +
               0.5 = “v0p5” = Stable
               0.7 = “v0p7” = Pre-Final
               0.9 = “v0p9” = Pre-Final+ (Test Chip for Hard IP)
               1.0 = “v1p0” = Final
    For more details on the maturity level definitions, please refer to the document Delivery Definitions for DIP IP.xlsx
    Note that for Soft-IP maturity levels “v1p0”, “v0p5”, and “v1p0” are the preferred (defined) deliveries.  Other numbers can be utilized if an intermediate release is requested.
    o “a” : Differentiation code - for multiple re-releases of a given delivery type.  The first release would not include a character in this location.  Subsequent releases of the same delivery type would be encoded with incrementing characters (“a” -&gt; “b” -&gt; “c”).
- Example : r210v0p3c (fourth release of the “initial” delivery of version 210 of an IP)
 </t>
        </r>
      </text>
    </comment>
    <comment ref="F151" authorId="0" shapeId="0" xr:uid="{2E7178CC-138B-4DA5-A24E-2D2463718210}">
      <text>
        <r>
          <rPr>
            <b/>
            <sz val="9"/>
            <color indexed="81"/>
            <rFont val="Tahoma"/>
            <family val="2"/>
          </rPr>
          <t>Author (RELEASE_NOTES template):</t>
        </r>
        <r>
          <rPr>
            <sz val="9"/>
            <color indexed="81"/>
            <rFont val="Tahoma"/>
            <family val="2"/>
          </rPr>
          <t xml:space="preserve">
Item1: Cadence Confidential Header.(Keep Same for all delivery)
       /*********************************************************************************************
       NOTICE
       ----------------------------------------------------------------------------------------------
       This database contains confidential information of Cadence Design Systems and other parties.
       You are to treat the information contained in the database as confidential under the terms of
       the Non-Disclosure agreement or PSA that you have with Cadence.
       **********************************************************************************************    
Item2: Project Name (eg. renesas.san_jose.n2-DDR54)
Item3: PHY Protocol (eg. HSPHY/HPPHY/DFPHY-LP/DFPHY-DDR5/GDDRPHY)
Item4: PHY Type (eg. Hard PHY)
Item5: IPversion (eg. r100v1p1)
Item6: IPtag (</t>
        </r>
        <r>
          <rPr>
            <b/>
            <sz val="9"/>
            <color indexed="81"/>
            <rFont val="Tahoma"/>
            <family val="2"/>
          </rPr>
          <t>Only provide that for release with gds/oas like final/ECO release</t>
        </r>
        <r>
          <rPr>
            <sz val="9"/>
            <color indexed="81"/>
            <rFont val="Tahoma"/>
            <family val="2"/>
          </rPr>
          <t>. eg. GDS/OAS IPtag information)
Item7: Release Date: (eg. 2024-Mar-27)
Item8: Release Notes: (eg. information about the release and information about the changes or re-delivery reason. only need to put current delivery information)
              -- renesas_san_jose_n2_devar_sec5LPE_phy_ddr54_80bits_EW_BE-20240327_postfinal
              -- This is a Post-Final delivery which includes sdf,  pv, cdl, lef, lib, netlist, ctsmdl and gds for cadence_phy_cdn_hs_phy_top.   
Item9: Collateral Naming Convention:(Keep Same and no need to change)
       LEF:  
           &lt;IP_NAME&gt;.CutObs.lef  : Lef with obs cut around pin.
           &lt;IP_NAME&gt;.lef         : Lef without obs cut around pin.
       LIB: 
           &lt;IP_NAME&gt;.&lt;mode&gt;.&lt;corner&gt;.ideal.lib : Lib without clock propagation and used for Pre-CTS stage.
           &lt;IP_NAME&gt;.&lt;mode&gt;.&lt;corner&gt;.lib       : Lib with clock propagation and used for Post-CTS stages.
Item10: CDNS Tool Version (eg. put all the version information of EDA tools which generate these collaterals)
Item11：Equivalent FE Package : (eg. package name from delivery team, ask that by JIRA ticket after PD shares the LEC package to delivery team)   
Item12: Standard Cell Libary Version:(eg. list all standard cell library information in below section)
Item13: Hard Macro Libary Version: (eg. list all the hard macro library informaiton in below section)
        DESKEWPLL   (Silicon Creations) : PLLTS6FFLVDESKEWD_2022_10_11_v1p0p0p2p9_BE
        DDRIO       (CADENCE)           : cdns_ddr520_h_t7g_15M1X1Xa1Ya5Y2Yy2Yx2R_r150.20230829
        DECAP       (CADENCE)           : cdns_ddr_custom_decap_cells_t7g_1X_1Xa_1Ya_5Y_r100.20211214
        CUSTOM CELL (CADENCE)           : cdns_ddr_custom_dig_cells_tcbn07_bwph300l8p64pd_base_1X_1Xa_1Ya_5Y_r100.20220921
        CINV CELL   (CADENCE)           : cdns_ddr_cinv_cells_tcbn07_bwph300l8p64pd_base_15M_1X_h_1Xa_v_1Ya_h_5Y_vhvhv_2Yy2Yx2R_r100.20221017
        BUMP        (TSMC)              : T000BPDR022_V0.9.1
        DTCD        (TSMC)              : N07_DTCD_v1d0
        ESD CLAMP   (TSMC)              : t7g_esdForPD_A_r120.20200529
        REGULATOR   (CADENCE)           : cdns_ddr_reg_pwrsw_combo_cells_t7g_15M_1X_h_1Xa_v_1Ya_h_5Y_vhvhv_2Yy2Yx2R_r200.20210412
Item14: Metal Scheme: (eg. as below)
        Metal Scheme:    N7_15M_1X1Xa1Ya5Y2Yy2Yx2R_UTRDL 
        Top Metal Layer:  AP
        #+ CADENCE APR TECHNOLOGY FILE - PRTF_Innovus_N7_15M_1X1Xa1Ya5Y2Yy2Yx2R_UTRDL_M1P64_M2P40_M3P44_M4P76_M5P76_M6P76_M7P76_M8P76_M9P76_H300.13_1c.tlef
        #+ FOR TSMC 07NM CMOS LOGIC 1P15M PROCESS WITH 1X1Xa1Ya5Y2Yy2Yx2R METAL OPTION
        #+ APR TECHNOLOGY FILE DOCUMENT: T-N07-CL-PR-001-E1      VER 1.3_1c  (08/04/2020)
        #+ DESIGN RULE DOCUMENT:         T-N07-CL-DR-001         VER 1.3_1
        #+ ROUTING PITCH:                M1: 64nm M2: 40nm M3: 44nm M4: 76nm M5: 76nm M6: 76nm M7: 76nm M8: 76nm M9: 76nm
        #+ ROUTING DIRECTION:            VHV   
Item15: QRC Tech File Version (eg. 15M1X1Xa1Ya5Y2Yy2Yx2R_UT/fs_v1d0p1a)
Item16: PV Ruledeck Version (eg. list the head information of all PV ruledeck files including DRC,LVS,ANT,BUMP,DFM and all other checks)
           LVS:
         ///////////////////////////////////////////////////////////////////////// 
         //   @(#) TSMC N6 Pegasus LVS/QRC COMMAND FILE 
        //   @(#) COMMAND FILE DOCUMENT: T-N06-CL-SP-001-N1 
        //   @(#) COMMAND FILE VERSION: 1.0b  
        //   @(#) COMMAND FILE METAL SCHEME: 1P15M  
        //   @(#) COMMAND FILE DATE: 11/04/2022  
        //   @(#) EDA TOOL VERSION: Pegasus 21.30-e947  
        ////////////////////////////////////////////////////////////////////////////////  
Item17: PV Waiver Information (</t>
        </r>
        <r>
          <rPr>
            <b/>
            <sz val="9"/>
            <color indexed="81"/>
            <rFont val="Tahoma"/>
            <family val="2"/>
          </rPr>
          <t>Only provide that for release with gds/oas like final/ECO release.</t>
        </r>
        <r>
          <rPr>
            <sz val="9"/>
            <color indexed="81"/>
            <rFont val="Tahoma"/>
            <family val="2"/>
          </rPr>
          <t xml:space="preserve"> list all the waiver information for all checks like DRC, ERC or BUMP)
       DRC waiver: ESD.1g is waived by CDNS AMS team, OD.A.7.IP_TIGHTEN_BOUNDARY and PO.A.4.1.IP_TIGHTEN_BOUNDARY will be clean at chip level.
                   RULECHECK ESD.1g ....................................... Total Result       1775 (     76325)
                   RULECHECK OD.A.7.IP_TIGHTEN_BOUNDARY ................... Total Result          1 (         1)
                   RULECHECK PO.A.4.1.IP_TIGHTEN_BOUNDARY ................. Total Result          1 (         1)
       BUMP DRC waiver: all the BUMP DRC will be clean at chip level.
                   RULECHECK UBM.R.5 .......... TOTAL Result Count = 4  (4)
                   RULECHECK RV.S.7 ........... TOTAL Result Count = 33 (33)
Item18: Release History: (eg. put all the release history like below for customer tracking easily)
       Date 2023-SEP-28
                -- Preliminary lib and lef delivery on 2023-SEP-28
       Date 2023-OCT-25
                -- Initial lib,lef and netlists are being delivered on 2023-OCT-23 
       Date 2024-JAN-11
                -- Stable lib,lef, ctsmdl and netlists are being delivered on 2024-JAN-11
       Date 2024-FEB-22
                -- Pre-final sdf, pv, cdl, lef, lib, netlist, ctsmdl and gds are being delivered on 2024-FEB-22
       Date 2024-MAR-11
                -- Final sdf, pv, cdl, lef, lib, netlist, ctsmdl and gds are being delivered on 2024-MAR-11
       Date 2024-MAR-27
                -- Post-Final sdf, pv, cdl, lef, lib, netlist, ctsmdl and gds are being delivered on 2024-MAR-27
</t>
        </r>
      </text>
    </comment>
    <comment ref="F155" authorId="0" shapeId="0" xr:uid="{DE439CEC-8A01-47C0-A6BD-EBB9D44D0472}">
      <text>
        <r>
          <rPr>
            <sz val="9"/>
            <color indexed="81"/>
            <rFont val="Tahoma"/>
            <family val="2"/>
          </rPr>
          <t xml:space="preserve">Author:
Customer need dataslice IO order information to do PHY_TOP IO planning and Decap calculation.
The IO order information needs include all the physical DDRIO like VREF cut,ESD cells.
</t>
        </r>
      </text>
    </comment>
    <comment ref="F170" authorId="0" shapeId="0" xr:uid="{45386F66-CF76-46E0-BBE2-BA04B88EA14B}">
      <text>
        <r>
          <rPr>
            <sz val="9"/>
            <color indexed="81"/>
            <rFont val="Tahoma"/>
            <family val="2"/>
          </rPr>
          <t xml:space="preserve">Author:
If there are checks that are not applicable, then we should pick a different stage in the flow (initial, stable,  prefinal, final, etc ….).
</t>
        </r>
      </text>
    </comment>
    <comment ref="F171" authorId="0" shapeId="0" xr:uid="{8B643473-A54E-4492-A778-172700AE5D07}">
      <text>
        <r>
          <rPr>
            <sz val="9"/>
            <color indexed="81"/>
            <rFont val="Tahoma"/>
            <family val="2"/>
          </rPr>
          <t xml:space="preserve">Author:
Waived, waived because XXX Said so is not sufficient.  There must be enough information such that if someone was reviewing them there is enough information to decide if they can be waived or not.
</t>
        </r>
      </text>
    </comment>
    <comment ref="F174" authorId="0" shapeId="0" xr:uid="{84FCBD75-B98D-4126-BB5A-780119390324}">
      <text>
        <r>
          <rPr>
            <b/>
            <sz val="9"/>
            <color indexed="81"/>
            <rFont val="Tahoma"/>
            <family val="2"/>
          </rPr>
          <t xml:space="preserve">Author:
For example, below name doesn't match, and the directory name should have same date 210609.
Tarball name :                           microchip.vancouver.microtron-DDR43_CNTL_PHY.firm_phy.final_release_BE_210609.tar.gz
Top-Level directory name :     microchip.vancouver.microtron-DDR43_CNTL_PHY.firm_phy.final_release_BE_210607
</t>
        </r>
      </text>
    </comment>
    <comment ref="F175" authorId="0" shapeId="0" xr:uid="{7D1A3D79-E5CD-4F02-A7D5-7506BC36B2E0}">
      <text>
        <r>
          <rPr>
            <sz val="9"/>
            <color indexed="81"/>
            <rFont val="Tahoma"/>
            <family val="2"/>
          </rPr>
          <t>Author: 
Part of the reviewers job is to “officially waive” the waivers that have been uploaded.</t>
        </r>
      </text>
    </comment>
  </commentList>
</comments>
</file>

<file path=xl/sharedStrings.xml><?xml version="1.0" encoding="utf-8"?>
<sst xmlns="http://schemas.openxmlformats.org/spreadsheetml/2006/main" count="3873" uniqueCount="1156">
  <si>
    <t>Block name  (e.g: cdn_hs_phy_data_slice)</t>
  </si>
  <si>
    <t>Confirm no ERROR message during read constraints.</t>
  </si>
  <si>
    <t>Confirm all Warning messages during read constraints can be waived.</t>
  </si>
  <si>
    <t>Confirm no issue for check_timing (all modes) in Innovus.</t>
  </si>
  <si>
    <t>Confirm no issue for check_design in Innovus.</t>
  </si>
  <si>
    <t>Confirm block orientation matches to addendum(NS/EW).</t>
  </si>
  <si>
    <t>Confirm followed the general slice top metal and top routing layer spec. (check the Note)</t>
  </si>
  <si>
    <t>Confirm all ports are assigned on metal track.</t>
  </si>
  <si>
    <t>Confirm all ports status are Fixed.</t>
  </si>
  <si>
    <t>Confirm buffers are attached for all ports and are set as fixed.</t>
  </si>
  <si>
    <t xml:space="preserve">Confirm the power switches connection is correct . (for non-PSO, please fill N/A) </t>
  </si>
  <si>
    <t xml:space="preserve">Confirm the switch power pin is not in lef . (for non-PSO, please fill N/A) </t>
  </si>
  <si>
    <t>Confirm open the IP_TIGHTEN_DENSITY switch in DRC rule deck.</t>
  </si>
  <si>
    <t>Confirm max routing layer is correct. Provide max routing layer value in comment field.</t>
  </si>
  <si>
    <t>Confirm max D4 loading can be drove by DA cell and place loading instance close to DA cell(check the Note)</t>
  </si>
  <si>
    <t>Confirm we take care of the dynamic power optimization in the whole innovs flow(Check the Note)</t>
  </si>
  <si>
    <t>Confirm followed the custom and Regulator cell integration guide in custom cell delivery package. Please review the regulator physical design with AMS team.Please place the write path DA cell close to IO port and don't insert the buffers/inverter between DCC loop and data out mux select pin. (Check the Note)</t>
  </si>
  <si>
    <t>Confirm the XTC crosstalk connection is correct for the DDRIO has *XTC ports. (Check the Note)</t>
  </si>
  <si>
    <t>Confirm the BUMP DRC rule deck setting is correct.</t>
  </si>
  <si>
    <t>Confirm no BUMP rule violation or can be waived by the client or internal package team.</t>
  </si>
  <si>
    <t>Confirm the PG connection of Deskew PLL is correct and the PG resistance meet the integration guide. (check the Note)</t>
  </si>
  <si>
    <t>Confirm no RDL DRC violation.</t>
  </si>
  <si>
    <t>Confirm meet a resistance less than 0.5Ω(not exceed 0.8Ω) and a capacitance less than 350fF from pad opening to signal bump. (check the Note)</t>
  </si>
  <si>
    <t>Confirm NO special VDDCK bump for PAD memory clock domain IO,should share the VDD bump from other core logic.</t>
  </si>
  <si>
    <t>Confirm follow the datasheet and implementation guide of IP blocks(DDRIO/PLL/Noisegen/GPIO etc).  (check the Note)</t>
  </si>
  <si>
    <t>Confirm the VDDQX bumps are assigned correctly. Exactly follow the "Memory Type" collum information. (check the Note)</t>
  </si>
  <si>
    <t>Confirm assign VDDQ_AO for CKE/RST IO region if data retention "CKE/RST always on enabled" is specified in addendum. And place the CKE/RST domain IOs correctly. For DDR5 application,CS pad will be used to replace CKE and should be put into VDDQ_AO IO domain too. (check the Note)</t>
  </si>
  <si>
    <t>Confirm the scan pins are assigned to be interleaved for PHY_TOP delivery. (check the Note)</t>
  </si>
  <si>
    <t xml:space="preserve">Make sure take care the PERC concern during  the VDDQ and VDDQ_CK bump assignment and PG integration for LPDDR5 as VDDQ and VDDQ_CK are core voltage and the P2P resistance requirement is 0.1ohm which is tight. </t>
  </si>
  <si>
    <t>Confrim add VDDQ/VDD decaps for DDRIO in test chip tv_chip level(Follow same decap insertion guidance in PHY implementation guide).</t>
  </si>
  <si>
    <t>Confirm use cdns_ddr_vddq_ck_v/h (with double clamp and If exist in current DDRIO library) instead of cdns_ddr_vddq_v/h in memclk region for better ESD protection of VDDQ_CK domain. (Fill N/A if this cell doesn’t exist)</t>
  </si>
  <si>
    <t>Confirm follow the "Gen* I/O VREF and ESD Insertion Rule" in implementation guide AND DDRIO datasheet for IO planning. Please sent the IO order to AMS team to review if you are not that sure. (check the Note)</t>
  </si>
  <si>
    <t>Confirm the antenna information is included in the lef files.</t>
  </si>
  <si>
    <t>Confirm the pin width follow the PR tech file(default width or double width).</t>
  </si>
  <si>
    <t>Confirm the AREA number in the lib is the real physical size(LEF size) of the block.(post-process based on libs generated by tempus)</t>
  </si>
  <si>
    <t>Confirm the first voltage_map definition is power pin VDD* but not VSS for all delivered lib. (post-process if needed)</t>
  </si>
  <si>
    <t>Confirm "related_power_pin" information of the interface pin in the lib files is correct. (Check the Notes)</t>
  </si>
  <si>
    <t>Confirm run library compiler lib basic QA to all lib files for each modes(func/bypass/scan) (check the Note)</t>
  </si>
  <si>
    <t xml:space="preserve">Please specify the library compiler lib QA log file path in Value collum. </t>
  </si>
  <si>
    <t>Confirm the Formal check is pass.</t>
  </si>
  <si>
    <t>Confirm no assign in release netlist.</t>
  </si>
  <si>
    <t>Confirm RELEASE_NOTES file is included in the delivery package.</t>
  </si>
  <si>
    <t>Confirm BRCM recipe/std cell version information is added in RELEASE_NOTES file for BRCM case. Fill N/A for other programs.</t>
  </si>
  <si>
    <t>Confirm CDNS tool version(generate the views in package) information is added in RELEASE_NOTES (Eg,innovus/voltus/qrc/quantus/tempus/etc)</t>
  </si>
  <si>
    <t>Confirm all the delivery items come from the same database?</t>
  </si>
  <si>
    <t>Confirm not disable any checks. (check the Note)</t>
  </si>
  <si>
    <t>Confirm a detailed explanation is provided for any waiver. (check the Note)</t>
  </si>
  <si>
    <t>Confirm create waivers with "Create N Wavers" NOT "Create One Waiver" in CheckIt.</t>
  </si>
  <si>
    <t>Pay attention to the package directory structure and that will be checked by CheckDirectory in CheckIt. (check the Note)</t>
  </si>
  <si>
    <t>Confirm you have run CheckIt and provide the results for review.  (check the Note)</t>
  </si>
  <si>
    <t>Confirm proper clock tree buffer/inverter types are used. Provide a list in comment field.</t>
  </si>
  <si>
    <t xml:space="preserve">Confirm place the cells from delayElement0 to DL of each delay line closely and don't touch the net/cell on these paths. </t>
  </si>
  <si>
    <t>Confirm NO analog module (such as DA) is put in the middle of manual added inverter pairs in DCD path improvement activities.</t>
  </si>
  <si>
    <t>Confirm placed the mimic delay cell related paths (from delay line output to DL IE/IL pins) carefully. (check the Note)</t>
  </si>
  <si>
    <t>Confirm the delay element and read entry flops are ULVT type for DDR5/LPDDR5 whose date rate is 4400Mbps and above.(check the Note)</t>
  </si>
  <si>
    <t xml:space="preserve">Confirm no VT mixing on clock tree for all modes. For some instances has clock attribute but used as data, please list that into Waiver list. </t>
  </si>
  <si>
    <t xml:space="preserve">Confirm you use the same VT and cell type(clock cell)  as that on read DQS path to balance read DQ/DQS skew. Treat DQ read path as clock path.  </t>
  </si>
  <si>
    <t>Confirm TCD(FETCD/BETCD) cells are inserted based on foundry requirement.</t>
  </si>
  <si>
    <t xml:space="preserve">Confirm refer to Fab recommendation and requirement to insert  ESD cell for core violtage . </t>
  </si>
  <si>
    <t xml:space="preserve">Confirm ESD cell power pins are connected to always on power net.  In general, it's not allowed to add ESD clamps to VDDG power gated domain. If customer request that, please review that with ESD experts about the wake-up time requirement etc for this special case and request approval from PD/AMS top management. </t>
  </si>
  <si>
    <t>Confirm data retention IO VDD_AO pin must be connected to always-on VDD (mark N/A only when data_retention pad doesn't exist)”</t>
  </si>
  <si>
    <t>Confirm reset_n_pad (cdns_ddr_se_r_txrx_h) IO VDD_AO pin must be connected to always-on VDD.</t>
  </si>
  <si>
    <t>Confirm the Deskew PLL CKFB connecte to FOUTP directly without buffers. (check the Note)</t>
  </si>
  <si>
    <t>Confirm the correct bump naming rule VDDAPLL_* for high voltage pin VDDA of dual rail Deskew PLL (check the Note)</t>
  </si>
  <si>
    <t>Confirm I/O voltage signal "DR_VALUE_HV/DR_EN_HV/VDDGONE*_HV/TIE*_HV/ATB*_HV" does not connect to VDD voltage device.</t>
  </si>
  <si>
    <t>Confirm with IO designer whether the IO is Gen1 IO or Gen2 IO or Gen3 IO.(check the Note)</t>
  </si>
  <si>
    <t>Confirm meet the decap requirement in die model checklist. (Check the Notes)</t>
  </si>
  <si>
    <t>Confirm SPEF extaction includes dummy metal gds.</t>
  </si>
  <si>
    <t>Confirm SPEF extraction includes NDR rule lef file.</t>
  </si>
  <si>
    <t>Confirm no ERROR message in the QRC log files.</t>
  </si>
  <si>
    <t xml:space="preserve">Confirm no physically open nets in QRC imcomplete net report. </t>
  </si>
  <si>
    <t>Confirm all Warning message in QRC log files can be waived.</t>
  </si>
  <si>
    <t>Confirm the library version is correct. STA signoff environment may not use the correct library paths. Please do local update when needed.</t>
  </si>
  <si>
    <t xml:space="preserve">Confirm the the cel list specified in library_setup/set_instance_voltage.tcl in STA environment matches to the real physical implemention for projects with regulator.  Please do local update for VDDR domain cell list in the file when needed. </t>
  </si>
  <si>
    <t>Confirm there are no unintentional cells in VDDR domain and all cells in VDDR domain are updated to latest STA environment.</t>
  </si>
  <si>
    <t>Confirm the netlist/spef version is correct.</t>
  </si>
  <si>
    <t>Confirm the SI setting is correct.</t>
  </si>
  <si>
    <t>Confirm the OCV setting is correct (matches to latest foundary recommendation or addendum).</t>
  </si>
  <si>
    <t>Confirm no SPEF annotation issue in STA.</t>
  </si>
  <si>
    <t>Confirm check full path group timing reports (in2out/in2reg/reg2out/reg2reg/default/cgdefault).</t>
  </si>
  <si>
    <t>Confirm all Warning message in the STA log files can be waived.</t>
  </si>
  <si>
    <t>Confirm generate all the power library with detail view correctly.</t>
  </si>
  <si>
    <t>Confirm use the proper spice model and spice netlist to generate the PGV views.(check the Note)</t>
  </si>
  <si>
    <t>Confirm full PG connection information are included in def to run PA.</t>
  </si>
  <si>
    <t>Confirm enable the full delay line to check the PG weak points related to delay line in EMIR analysis.</t>
  </si>
  <si>
    <t>Confirm no ERROR message in power analysis log files.</t>
  </si>
  <si>
    <t>Confirm all Warning message in power analysis log files can be waived.</t>
  </si>
  <si>
    <t>Confirm the GDS includes dummy METAL/OD/PO/COD.</t>
  </si>
  <si>
    <t>Confirm the ANT rule deck setting is correct.</t>
  </si>
  <si>
    <t>Confirm the LVS rule deck setting is correct.</t>
  </si>
  <si>
    <t>Confirm the ANT check result is clean.</t>
  </si>
  <si>
    <t>Confirm the LVS check result is match.</t>
  </si>
  <si>
    <t>Confirm the ERC check result is clean.</t>
  </si>
  <si>
    <t>Confirm turn-off the VIRTUAL_CONNECT in LVS setting.</t>
  </si>
  <si>
    <t>Confirm no soft-connect issue.</t>
  </si>
  <si>
    <t>Confirm no ERROR message in PV log files.</t>
  </si>
  <si>
    <t>Confirm all Warning message in PV log files can be waived.</t>
  </si>
  <si>
    <t>Confirm set proper LVS bump text files (e.g: not include VDDG/VREF internal pin).</t>
  </si>
  <si>
    <t>Confirm add the chipBoundary layer to check boundary DRC for test chip.</t>
  </si>
  <si>
    <t>Confirm set the correct golden netlist.</t>
  </si>
  <si>
    <t>Confirm "set flatten model -library_pin_verification" in LEC flow.</t>
  </si>
  <si>
    <t xml:space="preserve">Confirm the CLP check result is clean. </t>
  </si>
  <si>
    <t>Confirm no ERROR message in CLP log files.</t>
  </si>
  <si>
    <t>Confirm all Warning message in CLP log files can be waived.</t>
  </si>
  <si>
    <t>Confirm the pin location is same as previous delivery.  Write the reason in comment if no.</t>
  </si>
  <si>
    <t>Confirm .lib timing model files are generated by Tempus.</t>
  </si>
  <si>
    <t>Confirm slice EFG path delay or PHY_TOP clock tree insertion delay in ctsmdl generated by STA environment(in signoff_check) is reasonable. (STA environment will generate the ctsmdl for both PHY and slices)</t>
  </si>
  <si>
    <t>Confirm IPversion information is specified in RELEASE_NOTES file.(check the Note)</t>
  </si>
  <si>
    <t>For HSPHY2, DDR IO is included in dataslice. Confirm you provide the IO order(including physical IO) information in RELEASE_NOTES for FIRM PHY project.(check the Note)</t>
  </si>
  <si>
    <t>Confirm no inputs are tied directly to the power rails (VDD/VSS) by using Tiehigh/Tielow cells(check the Note)</t>
  </si>
  <si>
    <t>confirm no unplaced cells in design.</t>
  </si>
  <si>
    <t xml:space="preserve">Confirm there is no buffers/inverters inserted on the VDDR_OBS/VDDR_1UI_OBS/VDDR_6UI_OBS/ATB0_REG_OBS/ATB1_REG_OBS nets from regulator to feedback IO. And make sure the net resistance less than 500ohms. For 1UI+6UI case, if the 1UI or 6UI connected to two FBIOs, make sure the path from the regulator to the near FBIO resistance less than 500ohms. For regulator to the far FBIO path, the resistance can be relaxed. Check with AMS team if you have further questions. </t>
  </si>
  <si>
    <t>Confirm the timing of all path groups is clean.</t>
  </si>
  <si>
    <t>Confirm the max_transition check result is clean.</t>
  </si>
  <si>
    <t>Confirm the max_capacitance check result is clean.</t>
  </si>
  <si>
    <t>Confirm the noise/glitch check result is clean.</t>
  </si>
  <si>
    <t>Confirm the min-pulse check result is clean.</t>
  </si>
  <si>
    <t>Confrim the MIMCAP PGV view is provided by AMS team for die model correctness. (for non-MIMCAP case, please fill N/A)</t>
  </si>
  <si>
    <t>Confirm the VT ratio calculation excludes physical cells(Filler/DCAP/Tap etc).</t>
  </si>
  <si>
    <t>Confirm run VDDR domain EMIR for projects with Regulator and double confirm the VDDR domain total capacitance with AMS team. (For non Regulator case,please fill N/A)</t>
  </si>
  <si>
    <t>Confirm the "#define CHECK_FLOATING_GATE_BY_PRIMARY_TEXT" DRC option in DRC rule deck is open to check PO.R.19 (input floating issue) in IP level.</t>
  </si>
  <si>
    <t>Confrim there is no issue for lvs.rep and extra pins in lvs.rep.cls even the results shows MATCH(check the Note)</t>
  </si>
  <si>
    <t>Confirm the IPTAG content and format are correct.(check the Note)</t>
  </si>
  <si>
    <t>Confirm the Final GDS have the IPTAG information?</t>
  </si>
  <si>
    <t xml:space="preserve">Confirm whether ESD PERC check is needed. </t>
  </si>
  <si>
    <t>Confirm whether CNOD check is needed.  For example, we need to check CNOD for TSMCN5 process.</t>
  </si>
  <si>
    <t>Confirm the PERC voltage setting is correct.(check the Note)</t>
  </si>
  <si>
    <t>Confirm there is no issue about ESD PERC check if PERC check is needed.</t>
  </si>
  <si>
    <t>Confirm there is no issue about CNOD check if CNOD check is needed.</t>
  </si>
  <si>
    <t xml:space="preserve">Confirm there is no ERROR message when reload the LEF. For example, for TSMC N5, OBS Layer M0~M4 need the MASK attribute. Need to do some hacking to the innovus default output lef. </t>
  </si>
  <si>
    <t>Confirm the SDF files are generated by Tempus?</t>
  </si>
  <si>
    <t>Confirm the SDF file name follows the naming convention {design_name}.{mode}.{standard_cell_default_operating_conditions}_{rc_corner}_{path_type}.sdf.gz?</t>
  </si>
  <si>
    <t>Confirm two GDS files (.gds.gz and .oas) are included in the delivery package.</t>
  </si>
  <si>
    <t xml:space="preserve">Confirm the GDS top layer match to the LEF PG top layer.  Pay attention to the dummy insertion rule and make sure dummy top layer is correct. </t>
  </si>
  <si>
    <t>Confirm the dummy EXCL layers are added in final GDS. (Check the Notes)</t>
  </si>
  <si>
    <t xml:space="preserve">Confirm the dummy EXCL layers in gds is correct. If the block top metal is M9, the top metal EXCL layer should exactly be M9 EXCL layer. More or less are both incorrect. </t>
  </si>
  <si>
    <t>Confirm there is not 2:0 (PW:drawing)  layer in final GDS for TSMC process. (“PW: drawing” is a RESERVED mask for TSMC process.)</t>
  </si>
  <si>
    <t>Confirm the two GDS files follow the naming convention {design_name}.gds.gz and  {design_name}.oas?</t>
  </si>
  <si>
    <t>Confirm the cdl file is included in the delivery package.</t>
  </si>
  <si>
    <t>Confirm the cdl file follows the naming convention {design_name}.cdl?</t>
  </si>
  <si>
    <t>Confirm the cdl file is only one flat full cdl.  Self contained. NO includes.</t>
  </si>
  <si>
    <t xml:space="preserve">Confirm descript the PV violations  in your PV report files in RELEASE_NOTES file if have. </t>
  </si>
  <si>
    <t>Confirm descript the PV rule deck information in RELEASE_NOTES so that customer can double check the version.</t>
  </si>
  <si>
    <t>Confirm the release directory name must match the tar ball package name. (Check the Note)</t>
  </si>
  <si>
    <t>NO</t>
  </si>
  <si>
    <t>Confirm run LEC based on release package data without issue.</t>
  </si>
  <si>
    <t>Confirm only touched blocks have different data for ECO programs. Do consistency check between ECO package and previous package.</t>
  </si>
  <si>
    <t xml:space="preserve">Confirm there is no dummy metal/via added inside DDRIO. For furture programs, DDRIO will include the dummy metal/via EXCL layers inside IO so PD don't need to do anything. For currrent ongoing project, please check whether there are EXCL layers in DDRIO and create dummy EXCL on IO area if IO cells don't have EXCL layers in gds. </t>
  </si>
  <si>
    <t xml:space="preserve">Confirm all block netlist files are included in the package. </t>
  </si>
  <si>
    <t>Confirm the data consistency check is done. (package vs final signoff data)
       -Project lead confirmed the final signoff run db with block owner that package data matches to final block data.
       -compare the size and content of the text files with same name. 
       -XOR the two gds files. (can do the check by without dummy if dummy insertion is redone)</t>
  </si>
  <si>
    <t>Confirm run full STA check on release pacakge data without surprise (annotation &amp; timing). Final STA should be officially released by FEI team (check with FEI team if not)</t>
  </si>
  <si>
    <t>Confirm include the phy and slice level lec do file when you deliver the PHY LEC pacakge to delivery team for LEC check.</t>
  </si>
  <si>
    <t>Confirm the DRC check result is clean. (fill the confidence level of not touching floorplan again in comment if fill no, for example, 90%~100%)</t>
  </si>
  <si>
    <t>Confirm add TAG information to PHY.(TC/Controller don't need IPTAG)</t>
  </si>
  <si>
    <t>Confirm PHY has the IPTAG for Hard PHY delivery and Slices have the IPTAG for FIRM PHY delivery. (Can skip slice level IPTAG for Hard PHY delivery)</t>
  </si>
  <si>
    <t>Confirm use IP Type code for PHY - "P" in the slices IPTAG for FIRM PHY delivery.</t>
  </si>
  <si>
    <t>Confirm update the IPTAG if FIRM PHY slices are reused as FIRM PHY delivery for another project.</t>
  </si>
  <si>
    <t>Confirm remove the FIRM PHY slices IPTAG if FIRM PHY slices are reused in Hard PHY project.</t>
  </si>
  <si>
    <t xml:space="preserve">Confirm you add the regulator location information(location related to origin with R0 orientation) in RELEASE_NOTES for FIRM PHY project delivery with regulator. The objective is to let customer to place one pair of VDD/VSS bump close to regulator to meet the 0.1Ohm resistance requirement. </t>
  </si>
  <si>
    <t>Confirm only AP PG layer is present in PHY_TOP LEF to avoid customers to hook up the SOC PG to PHY_TOP lower metal layer boundary PG pins. Please provide justification for some special customer request. Make sure your current bump assignment and VSS AP routing are easy to customer to make robutst connection between PHY VSS bump or VSS APRDL port on the boundary and SOC VSS bump. Fill N/A for slices.</t>
  </si>
  <si>
    <t>Confirm you don’t mention any customer name in other customer RELEASE_NOTES even if this is reused</t>
  </si>
  <si>
    <t>Confirm fill and place the release history excel table to Sharepoint. Provide the excel link in final peer review email.
       -For customer program, put to   "Customer Project Milestone Review -&gt; Customer_Program_Release_History_Tracking" on sharepoint.
       -For roadmap testchip, put to "Roadmap Project Milestone Review -&gt; Roadmap_TestChip_Release_History_Tracking" on sharepoint.
       -Naming style example zte.shenzhen.n20-DDR_N5_901_NXT__20230207_HS_DDRPHY_Release_History_v1.0.xlsx.</t>
  </si>
  <si>
    <t>confirm place the DESKEW PLL to the slice notch between two adjacent dataslices for LPDDR5 design with 32 or more bits to make the path delay from deskew pll to DQ/DQS write path smaller (better system budget).</t>
  </si>
  <si>
    <t xml:space="preserve">Confirm  SDF files (By default, SS/LV/-40C/cworst and FF/HV/125C/cbest two SDF corners for all modes;Please check the SDF corner information in addendum for special requirements from customers) are included in the delivery package. </t>
  </si>
  <si>
    <t>Confirm proper Quantus version is used for RC extraction(match to or mature than Foundry recommended Quantus version)</t>
  </si>
  <si>
    <t>Confirm the reuse block spef generation QRC version is same as your top level QRC version. If there is qrcTech file version update with new tool version after slices were built and released, block level spef may need to be regenerated. You can get the slice QRC version in BE checklist or RELEASE_NOTES.</t>
  </si>
  <si>
    <t>Confirm the DRC rule deck setting is correct. Make sure the switch settings match with Foundry CTA (/local/method/CTAF/&lt;process&gt;/production in chamber). Please add justification in Comment if you changed some switching setting in CTA.</t>
  </si>
  <si>
    <t>Confirm there are no gaps for delay element placement for both NS and EW orientation. Best practice is to place delay element by vertical direction for EW slies. Building PG into EW delay element is another choice to avoid gaps between delay elements.  Pay attention to try our best to keep same driven strenght along the READ/WRITE/LPBK path during the DCD fixing (post DQ clock divider).</t>
  </si>
  <si>
    <t>Confirm place the cdn_hs_phy/inst_scan_dly module close to PHY interface pins and create separate clock tree to these retime scan registers if your design is based on HSPHY 2022Q1 or later branch and need to support ETM timing signoff. Objective is to make the scan related interface data/clock paths simpler and reduce the slack difference between flatten and ETM model. For DFPHY,current design has not sperated inst_scan_dly module, so please place the  seperate “*scan_dly*” registers that belong to a in2reg/reg2out path close to PHY ports similarly. (Fill N/A if design has not this module)</t>
  </si>
  <si>
    <t>Confirm the MIM related check setting is correct. (Fill N/A if no MIMCAP inserted or no MIM related layers)</t>
  </si>
  <si>
    <t>Confirm the MIM_ANT check result is clean. (Fill N/a if no MIMCAP inserted or no MIM related layers)</t>
  </si>
  <si>
    <t xml:space="preserve">Confirm all the 3 NAND cells of clock mux in both PHY_TOP and Slice level are placed closely (distance &lt;= 10um) and there is NO buffer/inverters inserted between the nand0/nand1 and nand2. </t>
  </si>
  <si>
    <t>Confirm DFM check result is clean. (for SEC process, for others fill N/A)</t>
  </si>
  <si>
    <t>Confirm FLT check result is clean. (for SEC process, for others fill N/A)</t>
  </si>
  <si>
    <t>Confirm no ERROR message in DFM/FLT log files. (for SEC process, for others fill N/A)</t>
  </si>
  <si>
    <t>Confirm all Warning message in DFM/FLT log files can be waived. (for SEC process, for others fill N/A)</t>
  </si>
  <si>
    <t>Confirm the delay element design name and sub-module name are uniquified. Make sure there is not same module name for difference slices. For example, add "_ACS" and "_ACM" postfix to delay element design name and sub-module name for ACS and ACM block.</t>
  </si>
  <si>
    <t xml:space="preserve">Confirm there is not dummy metal fill inserted in the notch area for double row PHY. At the same time, dummy fill should not be in the specific PHY corner area if that that PHY corner will be placed in the SOC corner. Please align with customer. </t>
  </si>
  <si>
    <t>Confirm the bump assignment is sync with and agreed with the client or internal package team. And make sure the bump map sent to customer is same as that in final database.</t>
  </si>
  <si>
    <t>Confirm no Frontend(base layer) DRC violations.</t>
  </si>
  <si>
    <t>Confirm the size of all delivered files are not abnormal. (make sure there is no zero size file)</t>
  </si>
  <si>
    <t>Confirm the RDL and PG structure of final database match to your PERC run pass version. If you made some changes on the RDL and PG structure for DRC/EMIR after you passed PERC run, either you can submit another free run within PERC run cycle or run XOR between PERC pass run gds and your final gds and provide justifications like signal RDL layers and PG layers to IO/ESD/PLL are same betwen the two versions.</t>
  </si>
  <si>
    <t xml:space="preserve">Please confirm the below items one by one (check the Note)，
1. Confirm VDD/VDDQ/VDDQX additional Dcap value meet the performance requirement.
2. For LPDDR5 and LP5 combo, place RST/CKE pads to VDDQX domain. 
3. For CS pad, if CS/CKE swap logic is implemented (only for LP5/4X combo, CS type will be se_txrx), the CS pad should be placed in VDDQ domain. If CS/CKE swap logic is not implemented (LP5 mode,cs type will be se_cs_txrx), the CS pad should be placed in VDDQX domain. 
4. ATB pad can be put into VDDQX domain in general for LP5 and LP5 combo case. Please check with AMS team. 
5. Please connect the CKE/RST/CS region vddq decap to VDDQX power net. For VDD decap, please add that to VDD_ISO instead of VDD for LPDDR5 project using ddr800 Gen3IO. 
6. For LP4X, place CKE/RESET into VDDQX IO domain. 
</t>
  </si>
  <si>
    <t>Confirm the netlist file follows the naming convention {design_name}.v.gz and {design_name}.pg.v.gz?(No need to merge flatten *.v.gz to one except special request from customers)</t>
  </si>
  <si>
    <t>Confirm the delay element module and submodules have unique name in netlist across different slices. You can check the "IMPVL-324" in PHY level STA log file. Pay attention to the name of  delay element module and submodules should also be different between EW PHY and NS PHY if there are two orientation PHYs used in SOC.</t>
  </si>
  <si>
    <t>Confirm run LVS "lvs netlist vs cdl" and "cdl vs gds" on release package data without issue.</t>
  </si>
  <si>
    <t xml:space="preserve">Confirm use the clock inverters and set NDR routing to the paths from PLL TESTOUT and OBS out.  
           For HPPHY: the paths are from DESKEW PLL to pll_testout pad input pins or pll_testout DFI interface pins.
           For Dragonfly LPPHY: the paths are from PLL_clk_obs_out(DS/AS HM)-&gt; phy_obs_pll_clk(phy_top) and PLL_refclk_obs_out(DS/AS HM)-&gt;phy_obs_pll_refclk(phy_top)
           For Dragonfly DDR5 PHY: the paths are 
                         :  from top deskew PLL(phy_top)-&gt;pll_refclk_testout_top_pll/pll_testout_top_pll(phy_top) 
                         :  from PLL_clk_obs_out(DS HM)-&gt;pll_testout_ds*_pll(phy_top), PLL_refclk_obs_out(DS HM)-&gt;pll_refclk_testout_ds*_pll(phy_top)
                         :  from PLL_clk_obs_out(cmn_cas)-&gt;pll_testout_cmn_pll(phy_top),PLL_refclk_obs_out(cmn_cas)-&gt;pll_refclk_testout_cmn_pll(phy_top) 
                         :  from CMN_clk_obs_out(cmnhm)-&gt; CMN_clk_obs_out(phy_top)
            For tv_chip level: Do similar things to paths which are for FRACN-PLL/DESKEW-PLL clock testing or observing. </t>
  </si>
  <si>
    <t>For DDR5/DDR4 MCI 80bit PHY implementaton (Check the Note), 
        For HPPHY: group DS0~3 together with DS8-ECC and group DS4~7 together with DS9-ECC, put DS8/DS9 close to CA.
        For Dragonfly DDR5 PHY: DS4 is used for Channel A ECC data while DS9 is used for the Channel B ECC data. There is no special rule requirement as HPPHY and please place them in order based on each channel.</t>
  </si>
  <si>
    <t>Confirm assigned VDD_AO bump or create VDD_AO dedicated power supply from SOC side to VDD_AO  pin of internal data_retention pad depends on the communication with customer side if "Does customer intend to shutoff VDD externally" is yes in pre2post checklist and "power gating" is no in addendum. (check the Note)
            Pay attention to assign dedicated ESD cells to VDD_AO supply to make sure there is no ESD issue if VDD_AO bump is assigned. 
            Make sure the data_retention signal path from SOC side is always on ( not powered by PHY VDD as that can be shut off externally) 
            Make sure the related_power_pin of data_retention signal in lib files should be VDD_AO.</t>
  </si>
  <si>
    <t>Confirm you created VDD_AO power pin for data retention function of Dragonfly PHY. At the same time, create PHY VDD pin close to PHY VDD_AO pin using same layer and output the PHY VDD and PHY VDD_AO pins to LEF.  (Fill N/A if you confirmed with customer that they will not turn off the PHY VDD and this PHY will not be reused for other projects which may turn off the PHY VDD externally)</t>
  </si>
  <si>
    <t>Confirm add at least 2 ESD clamps cells for each power domain. For example: VDDPLL*/VDD_AO. Follow the guidance in AMS integration guide specified in  Notes. (for Intel process, need more clamps, please double check with ESD experts)</t>
  </si>
  <si>
    <t>Confirm Deskew/FRAC PLL(All power domains) Dcap meet the system requirement. (e.g: 100pf per deskew/fracN pll each power domain for 6400Mbps, Please check the Notes for decap number for each PLL power domain based on data rate). Follow the guidance in AMS integration guide specified in Notes.</t>
  </si>
  <si>
    <t>For test chip, pay attention to the digital process moniter implementation guide. (Check the guide in Notes)</t>
  </si>
  <si>
    <t>Confirm the IO order and IO orientation are same as that in the IO order excel table which was reviewed by AMS team or specified by Customer (Like Renesas FIRM PHY project). If you changed the IO order or IO orientation due to DRC or design closure, please make sure review and confirm that with AMS or customer again.</t>
  </si>
  <si>
    <t>YES</t>
  </si>
  <si>
    <t>Confirm the preCTS .lib timing model files follow the naming convention {design_name}.{mode}.{standard_cell_default_operating_conditions}_{rc_corner}_{path_type}.ideal.lib?
For some BRCM cases, there is no setup/hold path_type so there is no _{path_tye} postfix, that's still OK.</t>
  </si>
  <si>
    <t>Confirm the postRoute .lib timing model files follow the naming convention {design_name}.{mode}.{standard_cell_default_operating_conditions}_{rc_corner}_{path_type}.lib?
For some BRCM cases, there is no setup/hold path_type so there is no _{path_tye} postfix, that's still OK.</t>
  </si>
  <si>
    <t>Confirm the released gds is uniquified gds.  Please follow the standard prefix naming rule "cdn_ddr|gddr|hbm_&lt;foundry&amp;node&gt;_&lt;block_name&gt;_". The &lt;foundry&amp;node&gt; follows the naming convention in IPTAG. For some process tech nodes, the gds name has length limiation like TSMCN5 will have 127 or few characters limiatation. Please check the foundry document.(Check the Notes)</t>
  </si>
  <si>
    <t>Confirm all bit slice ports which connect to IO are assigned at the same side close to IO.</t>
  </si>
  <si>
    <t xml:space="preserve">Confirm clock latency (EFG paths) meet requirement for timing budget. Put the delay from DESKEW PLL to slice register CK(E) and pad_mem* (F+G) to comment collomn (target SS corner delay &lt; 800ps). </t>
  </si>
  <si>
    <t>Confirm "is_macro_cell : true ;" is specified for regulator cells in regulator lib file and the regulator pin connection is correct.(NSLEEP_IN and other input pins are not tied to 0. Fille N/A if there is no Regulator in your design)</t>
  </si>
  <si>
    <t>Confirm the MIM related check is clean. (Need to check and Fill N/A if no MIMCAP inserted or no MIM related layers in PHY or SOC level)
    - If PHY needs to insert MIMCAP. 
            1. Need to pay attention to the MIMCAP KOZ rule during MIMCAP insertion after check with customer about the SOC die size, substrate layer number and PHY placement/location in SOC level. 
            2. Pay attention to the option setting related to MIM DRC check like KOZ_High_subst_layer, SHDMIM_KOZ_AP_SPACE_5um(on/off will impact the checking rule) etc in TSMC rule deck(need to align these settings with customer).
    -If PHY doesn't insert MIMCAP but SOC level inserts MIMCAP. 
            1. Need to open SHDMIM switching in DRC rule deck.
            2. Need to check with customer whether PHY need to meet SHDMIM_KOZ_AP_SPACE_5um rule (if SOC level this DRC switching setting is ON) in PHY area which falls into SOC KOZ area for TSMC process.
            3. May need to insert MIM dummy in PHY level to meet SOC level MIM dummy density rule (you can sync with customer whether PHY MIM dummy is needed and the KOZ information on PHY to make sure there is no dummy added in KOZ area on PHY by adding MIM EXCL layer).</t>
  </si>
  <si>
    <t>Confirm you have run CLP without issue if the design has VDD_AO domain or other low power features like power gating, retention etc.</t>
  </si>
  <si>
    <t>Confirm you follow the below implementation guidance related to data_retention and VDDA_AO for GDDR6/GDDR7.
         -For GDDR6 Gen1 (old architecture), connect the data_retention pin  to CMN CORE_VDDGONE directly with shortest distance (please review the transition with AMS team) and don't insert any buffer on data_retention path as there is no VDD always supply in core area. GDDR6 gen1 will not have VDDA_AO supply and VDDA on HM will be always on in data_retention mode.
         -For GDDR6 new architecture or GDDR7, there will be VDDA_AO bump (please double check with AMS team if there is no VDDA_AO bump), PD need to add data_retention  buffers(insert data_retention buffer to PHY boundary also)  powered by VDDA_AO.</t>
  </si>
  <si>
    <t>Confirm the power number between EW and NS is similiar if this program has both NS and EW orientations.(&lt; 10% at least. fill N/A in case only one orientation)</t>
  </si>
  <si>
    <t>Confirm follow the RELEASE_NOTES template in Note. Adjust the content based on release milestone.
Reminder customer to turn-off the VIRTUAL_CONNECT in LVS setting in RELEASE_NOTES</t>
  </si>
  <si>
    <t>Confirm dfi interface registers are placed close to DFI interface pins and make the DFI interface input/output clock/datapath shortest with minumum skew (If the project is dragonfly DDR5 and controller will use PHY phy_pclk_out, please don't build shortest clock tree for DFI interface register clocks. You can balance DFI interface clock tree with internal clock tree or a little larger than internal clock tree). Build separate clock tree to DFI regsiters. One is for input registers, the other is for output registers. And the input clock tree need to be balanced with output clock tree.(check the Note)</t>
  </si>
  <si>
    <t>Confirm use TSO to run power opt including leakage opt</t>
  </si>
  <si>
    <t>Comments</t>
  </si>
  <si>
    <t>% Complete</t>
  </si>
  <si>
    <t>Missing Info</t>
  </si>
  <si>
    <t>Checked</t>
  </si>
  <si>
    <r>
      <t xml:space="preserve">Action(s)
</t>
    </r>
    <r>
      <rPr>
        <sz val="11"/>
        <color theme="1"/>
        <rFont val="Calibri"/>
        <family val="2"/>
        <scheme val="minor"/>
      </rPr>
      <t>[ JIRA Numbers ]</t>
    </r>
  </si>
  <si>
    <r>
      <t xml:space="preserve">Links
</t>
    </r>
    <r>
      <rPr>
        <sz val="11"/>
        <color theme="1"/>
        <rFont val="Calibri"/>
        <family val="2"/>
        <scheme val="minor"/>
      </rPr>
      <t>[ Background Info ]</t>
    </r>
  </si>
  <si>
    <t>Stages</t>
  </si>
  <si>
    <t>IP Type</t>
  </si>
  <si>
    <t>Need Auto</t>
  </si>
  <si>
    <t>Auto Value</t>
  </si>
  <si>
    <t>default</t>
  </si>
  <si>
    <t>Hierarchy</t>
  </si>
  <si>
    <t>Manual Value</t>
  </si>
  <si>
    <t>Auto Ref info</t>
  </si>
  <si>
    <t>final</t>
  </si>
  <si>
    <t>stable/final</t>
  </si>
  <si>
    <t>Confirm the netlist/constraint version is correct. 
For MIG program, list FEI release package name in comment.</t>
  </si>
  <si>
    <t>PHY-CHIP</t>
  </si>
  <si>
    <t>PHY</t>
  </si>
  <si>
    <t>subblock</t>
  </si>
  <si>
    <t>Confirm reorder VDD*GONE connection based on IO sequence unless it's took care by custom layout.</t>
  </si>
  <si>
    <t>HSPHY/HPPHY/DFPHY/GDDR</t>
  </si>
  <si>
    <t>HSPHY/HPPHY/DFPHY</t>
  </si>
  <si>
    <t>Confirm routing blockages are created around the block edges.</t>
  </si>
  <si>
    <t>Confirm you placed the discrete synchronizer flops close to each other (distance &lt;= 10um) for process without dedicated 2/3 stage synchronizer library cell like TSMC. Make sure “no buffering on the Q-&gt;D path between sync flops” for the sync_regs falling under same hierarchy. Please fine tune clock tree for hold fixing. Please don't change the VT of synchronizer flops. (Check the Note. Fill N/A for library has 2/3 stages dedicated library cell)</t>
  </si>
  <si>
    <t>IMP-2-0-0-00</t>
  </si>
  <si>
    <t>IMP-1-0-0-00</t>
  </si>
  <si>
    <t>IMP-1-0-0-01</t>
  </si>
  <si>
    <t>IMP-1-0-0-02</t>
  </si>
  <si>
    <t>IMP-2-0-0-01</t>
  </si>
  <si>
    <t>IMP-2-0-0-02</t>
  </si>
  <si>
    <t>IMP-2-0-0-03</t>
  </si>
  <si>
    <t>IMP-2-0-0-04</t>
  </si>
  <si>
    <t>IMP-2-0-0-05</t>
  </si>
  <si>
    <t>IMP-2-0-0-06</t>
  </si>
  <si>
    <t>IMP-2-0-0-07</t>
  </si>
  <si>
    <t>IMP-2-0-0-08</t>
  </si>
  <si>
    <t>IMP-2-0-0-09</t>
  </si>
  <si>
    <t>IMP-2-0-0-10</t>
  </si>
  <si>
    <t>IMP-2-0-0-11</t>
  </si>
  <si>
    <t>IMP-2-0-0-12</t>
  </si>
  <si>
    <r>
      <t xml:space="preserve">Action(s)
</t>
    </r>
    <r>
      <rPr>
        <sz val="10"/>
        <color theme="1"/>
        <rFont val="Calibri"/>
        <family val="2"/>
        <scheme val="minor"/>
      </rPr>
      <t>[ JIRA Numbers ]</t>
    </r>
  </si>
  <si>
    <r>
      <rPr>
        <b/>
        <sz val="10"/>
        <color theme="1"/>
        <rFont val="Calibri"/>
        <family val="2"/>
        <scheme val="minor"/>
      </rPr>
      <t>[BRCM special]</t>
    </r>
    <r>
      <rPr>
        <sz val="10"/>
        <color theme="1"/>
        <rFont val="Calibri"/>
        <family val="2"/>
        <scheme val="minor"/>
      </rPr>
      <t xml:space="preserve">
Confirm use pin blockage def for pin assignment for BRCM projects (for non-BRCM projects, please fill N/A)
The pin def information is in /projects/workbench/versions/BRCM/pin_blockage_def/BRCM_Pin_Placement_DEF_release_notes.pdf</t>
    </r>
  </si>
  <si>
    <r>
      <rPr>
        <b/>
        <sz val="10"/>
        <color theme="1"/>
        <rFont val="Calibri"/>
        <family val="2"/>
        <scheme val="minor"/>
      </rPr>
      <t>[BRCM special]</t>
    </r>
    <r>
      <rPr>
        <sz val="10"/>
        <color theme="1"/>
        <rFont val="Calibri"/>
        <family val="2"/>
        <scheme val="minor"/>
      </rPr>
      <t xml:space="preserve">
Confirm the BRCM don’t_use cell list is correct. Pay attention that the BRCM don’t use list is keeping change. Please check whether you follow the latest one.(The BRCM don’t use file in workbench is based on old program and you need to overwrite or update that per project.)
Latest BRCM dont_use cell list can be found in below path:
N7: /process/tsmcN7/data/stdcell/tsmc/n7gp/BRCM/MISC_n7gp/docs/dont_use.info.latest
N5: /process/tsmcN5/data/stdcell/n5/BRCM/MISC_BRCM_n5/docs/dont_use.info.latest</t>
    </r>
  </si>
  <si>
    <r>
      <rPr>
        <b/>
        <sz val="10"/>
        <color theme="1"/>
        <rFont val="Calibri"/>
        <family val="2"/>
        <scheme val="minor"/>
      </rPr>
      <t>[BRCM special]</t>
    </r>
    <r>
      <rPr>
        <sz val="10"/>
        <color theme="1"/>
        <rFont val="Calibri"/>
        <family val="2"/>
        <scheme val="minor"/>
      </rPr>
      <t xml:space="preserve">
Confirm no issue for the BRCM speical ARC rule check related to AP PAD enclosure (double check the setting in Note). Also check with PM about the latest rule deck version. Below paths are just for your reference. 
/process/tsmcN5/data/g_brcm/CALIBRE/DRC/23Mar2023/3stars_DRC_BRCM_5nm_AP_PAD_ENCLOSURE/sourceme
/process/tsmcN7/data/gp/CALIBRE/DRC/28Mar2023/3stars_DRC_BRCM_7nm_AP_PAD_ENCLOSURE/sourceme
</t>
    </r>
  </si>
  <si>
    <r>
      <t xml:space="preserve">Confirm you have build the shortest clock tree to SOC level SRAM interface clock ports for Dragonfly LP/DDR5 PHY and build shortest tree to phy_pclk_out for Dragonfly DDR5 PHY. (Fill N/A for HPPHY)
         -For Dragonfly Automotive LPPHY , build shortest clock tree from phy_pclk input port to phy_uc_IRam0CLK and phy_uc_DRam00CLK output ports.
         -For Dragonfly DDR5, build shortest clock tree from clk_ctlr_sync input port to phy_pclk_div_out output port.
         -For Dragonfly DDR5, as controller will use phy_pclk_out as clock source, please build shortest tree from clk_ctlr_sync input port to phy_pclk_out output port. To achieve this, you need to place the top DESKEW PLL close to DFI boundary. </t>
    </r>
    <r>
      <rPr>
        <b/>
        <sz val="10"/>
        <color theme="1"/>
        <rFont val="Calibri"/>
        <family val="2"/>
        <scheme val="minor"/>
      </rPr>
      <t xml:space="preserve">As current DFPHY bump plan is handled by AMS team, please pay attention to the top DESKEW PLL bump location which needs to be assigned near to DFI boundary. </t>
    </r>
    <r>
      <rPr>
        <sz val="10"/>
        <color theme="1"/>
        <rFont val="Calibri"/>
        <family val="2"/>
        <scheme val="minor"/>
      </rPr>
      <t xml:space="preserve">
Also, please optimize the SRAM interface data path(in2reg/reg2out related to phy_uc* ports) with tighter interface constraint and well balanced clock tree for these SRAM related registers to reserve more margin on SRAM path delay on SOC side.</t>
    </r>
  </si>
  <si>
    <t>HSPHY/HPPHY</t>
  </si>
  <si>
    <t>HPPHY</t>
  </si>
  <si>
    <t>DFPHY</t>
  </si>
  <si>
    <t>GDDRPHY</t>
  </si>
  <si>
    <t>HPPHY/DFPHY</t>
  </si>
  <si>
    <t>IMP-3-0-0-00</t>
  </si>
  <si>
    <t>IMP-3-0-0-01</t>
  </si>
  <si>
    <t>IMP-3-0-0-02</t>
  </si>
  <si>
    <t>IMP-3-0-0-03</t>
  </si>
  <si>
    <t>IMP-3-0-0-04</t>
  </si>
  <si>
    <t>IMP-3-0-0-05</t>
  </si>
  <si>
    <t>IMP-4-0-0-00</t>
  </si>
  <si>
    <t>IMP-4-0-0-01</t>
  </si>
  <si>
    <t>IMP-4-0-0-02</t>
  </si>
  <si>
    <t>IMP-4-0-0-03</t>
  </si>
  <si>
    <t>IMP-4-0-0-04</t>
  </si>
  <si>
    <t>IMP-4-0-0-05</t>
  </si>
  <si>
    <t>Confirm meet IP special DELAY/SKEW requirement if it have.</t>
  </si>
  <si>
    <t>Confirm have provided DCD analysis team the DCD path to set DCD analysis environment in stable stage and provide final DCD paths 2 weeks before final delivery.</t>
  </si>
  <si>
    <t xml:space="preserve">Confirm have provided verification team post-simulation related files to set post-sim environment. (TT corner,Timing violations within uncertainty, skew no impact post-sim) in stable stage and close to final version (SS/TT/FF corners,Timing violations within uncertainty, skew violations less than 10ps) post-simulation related files 2 weeks for slices (4 weeks for phy_top) before final delivery. </t>
  </si>
  <si>
    <t xml:space="preserve">Confirm all the PGV views are present in the EMIR scripts. </t>
  </si>
  <si>
    <t xml:space="preserve">Confirm the power number  can meet the power target in addendum if addendum has the power spec. </t>
  </si>
  <si>
    <t>Confirm static power analysis results matches the requirement.</t>
  </si>
  <si>
    <t xml:space="preserve">Confirm dynamic power results matches the requirement. </t>
  </si>
  <si>
    <t xml:space="preserve">Confirm signalEM analysis results matches the requirement. </t>
  </si>
  <si>
    <t>Confirm rush-current meet the requirement. (For non-PSO, please fill N/A)</t>
  </si>
  <si>
    <t>Confirm wake-up time meet customer's requirement. (For non-PSO, please fill N/A)</t>
  </si>
  <si>
    <t>Confirm you are aware of and follow the customers' requirement about wake-up/rush-current if they have.(For non-PSO, please fill N/A)</t>
  </si>
  <si>
    <t>IMP-5-0-0-00</t>
  </si>
  <si>
    <t>IMP-5-0-0-01</t>
  </si>
  <si>
    <t>IMP-5-0-0-02</t>
  </si>
  <si>
    <t>IMP-5-0-0-03</t>
  </si>
  <si>
    <t>IMP-5-0-0-04</t>
  </si>
  <si>
    <t>IMP-5-0-0-05</t>
  </si>
  <si>
    <t>IMP-5-0-0-06</t>
  </si>
  <si>
    <t>IMP-5-0-0-07</t>
  </si>
  <si>
    <t>IMP-5-0-0-08</t>
  </si>
  <si>
    <t>IMP-5-0-0-09</t>
  </si>
  <si>
    <t>IMP-5-0-0-10</t>
  </si>
  <si>
    <t>IMP-5-0-0-11</t>
  </si>
  <si>
    <t>IMP-5-0-0-12</t>
  </si>
  <si>
    <t>IMP-5-0-0-13</t>
  </si>
  <si>
    <t>IMP-5-0-0-14</t>
  </si>
  <si>
    <r>
      <rPr>
        <b/>
        <sz val="10"/>
        <color theme="1"/>
        <rFont val="Calibri"/>
        <family val="2"/>
        <scheme val="minor"/>
      </rPr>
      <t>[MIG-WB-Tracking]</t>
    </r>
    <r>
      <rPr>
        <sz val="10"/>
        <color theme="1"/>
        <rFont val="Calibri"/>
        <family val="2"/>
        <scheme val="minor"/>
      </rPr>
      <t xml:space="preserve">
Confirm the workbench flow you are using. (Current latest one: /projects/workbench/versions/workbench_v0.8)
Put the workbench flow dir in Comment and specify the reason why you don’t use the central workbench flow.
The reason maybe as belows,
           -This process is new and not covered by the central workbench flow.
           -ECO based on old programs.</t>
    </r>
  </si>
  <si>
    <r>
      <rPr>
        <b/>
        <sz val="10"/>
        <color theme="1"/>
        <rFont val="Calibri"/>
        <family val="2"/>
        <scheme val="minor"/>
      </rPr>
      <t>[MIG-WB-Tracking]</t>
    </r>
    <r>
      <rPr>
        <sz val="10"/>
        <color theme="1"/>
        <rFont val="Calibri"/>
        <family val="2"/>
        <scheme val="minor"/>
      </rPr>
      <t xml:space="preserve">
Confirm compared the difference between the workbench you used and the central workbench flow.
You can use "diff -r $your_workbench_dir /projects/workbench/versions/workbench_v0.8 &gt; workbench_difference"
Please put the below message in Comment collumn,
          -put the workbench_difference file location
          -Reason for the difference if has the difference
          -Suggestion for central workbench flow</t>
    </r>
  </si>
  <si>
    <r>
      <rPr>
        <b/>
        <sz val="10"/>
        <color theme="1"/>
        <rFont val="Calibri"/>
        <family val="2"/>
        <scheme val="minor"/>
      </rPr>
      <t>[VCD based Power Evaluation]</t>
    </r>
    <r>
      <rPr>
        <sz val="10"/>
        <color theme="1"/>
        <rFont val="Calibri"/>
        <family val="2"/>
        <scheme val="minor"/>
      </rPr>
      <t xml:space="preserve">
Confirm all Warning message in power evaluation log files can be waived.</t>
    </r>
  </si>
  <si>
    <r>
      <rPr>
        <b/>
        <sz val="10"/>
        <color theme="1"/>
        <rFont val="Calibri"/>
        <family val="2"/>
        <scheme val="minor"/>
      </rPr>
      <t>[VCD-based Power Evaluation]</t>
    </r>
    <r>
      <rPr>
        <sz val="10"/>
        <color theme="1"/>
        <rFont val="Calibri"/>
        <family val="2"/>
        <scheme val="minor"/>
      </rPr>
      <t xml:space="preserve">
Confirm no ERROR message in power evaluation log files.</t>
    </r>
  </si>
  <si>
    <r>
      <rPr>
        <b/>
        <sz val="10"/>
        <color theme="1"/>
        <rFont val="Calibri"/>
        <family val="2"/>
        <scheme val="minor"/>
      </rPr>
      <t>[VCD-based Power Evaluation]</t>
    </r>
    <r>
      <rPr>
        <sz val="10"/>
        <color theme="1"/>
        <rFont val="Calibri"/>
        <family val="2"/>
        <scheme val="minor"/>
      </rPr>
      <t xml:space="preserve">
Confirm final power evaluation checklist (DDR_PHY_IP_Performance_Analysis_Template_V1p2) and reports have been reviewed by Reviewer.</t>
    </r>
  </si>
  <si>
    <t>Confirm the MIM_ANT rule deck setting is correct. (For MIG,please check with AMS team about the MIM cell type (MIM or SHDMIM) because the MIM_ANT rule will be different).</t>
  </si>
  <si>
    <t>IMP-6-0-0-00</t>
  </si>
  <si>
    <t>IMP-6-0-0-01</t>
  </si>
  <si>
    <t>IMP-6-0-0-02</t>
  </si>
  <si>
    <t>IMP-6-0-0-03</t>
  </si>
  <si>
    <t>IMP-6-0-0-04</t>
  </si>
  <si>
    <t>IMP-6-0-0-05</t>
  </si>
  <si>
    <t>IMP-6-0-0-06</t>
  </si>
  <si>
    <t>IMP-6-0-0-07</t>
  </si>
  <si>
    <t>Confirm pass the formal check for final release netlist.</t>
  </si>
  <si>
    <t>Confirm connect the PSO chain correctly. (Fill N/A if no PSO)</t>
  </si>
  <si>
    <t>IMP-8-0-0-00</t>
  </si>
  <si>
    <t>IMP-8-0-0-01</t>
  </si>
  <si>
    <t>IMP-8-0-0-02</t>
  </si>
  <si>
    <t>IMP-8-0-0-03</t>
  </si>
  <si>
    <t>IMP-8-0-0-04</t>
  </si>
  <si>
    <t>IMP-8-0-0-05</t>
  </si>
  <si>
    <t>HPPHY/DFPHY/GDDR</t>
  </si>
  <si>
    <r>
      <rPr>
        <b/>
        <sz val="10"/>
        <color theme="1"/>
        <rFont val="Calibri"/>
        <family val="2"/>
        <scheme val="minor"/>
      </rPr>
      <t>[DCD check]</t>
    </r>
    <r>
      <rPr>
        <sz val="10"/>
        <color theme="1"/>
        <rFont val="Calibri"/>
        <family val="2"/>
        <scheme val="minor"/>
      </rPr>
      <t xml:space="preserve">
Confirm the spice used for DCD run is lpe based spice netlist with RC information. Otherwise the DCD results are not accurate. (Check the Notes)</t>
    </r>
  </si>
  <si>
    <r>
      <rPr>
        <b/>
        <sz val="10"/>
        <color theme="1"/>
        <rFont val="Calibri"/>
        <family val="2"/>
        <scheme val="minor"/>
      </rPr>
      <t>[DCD check]</t>
    </r>
    <r>
      <rPr>
        <sz val="10"/>
        <color theme="1"/>
        <rFont val="Calibri"/>
        <family val="2"/>
        <scheme val="minor"/>
      </rPr>
      <t xml:space="preserve">
Confirm with Balbeer the DCD flow and results are valid. </t>
    </r>
  </si>
  <si>
    <r>
      <rPr>
        <b/>
        <sz val="10"/>
        <color theme="1"/>
        <rFont val="Calibri"/>
        <family val="2"/>
        <scheme val="minor"/>
      </rPr>
      <t>[DCD check]</t>
    </r>
    <r>
      <rPr>
        <sz val="10"/>
        <color theme="1"/>
        <rFont val="Calibri"/>
        <family val="2"/>
        <scheme val="minor"/>
      </rPr>
      <t xml:space="preserve">
Confirm with Kato-san if DCD results is not meet the target.  </t>
    </r>
  </si>
  <si>
    <r>
      <rPr>
        <b/>
        <sz val="10"/>
        <color theme="1"/>
        <rFont val="Calibri"/>
        <family val="2"/>
        <scheme val="minor"/>
      </rPr>
      <t>[ETMQA check]</t>
    </r>
    <r>
      <rPr>
        <sz val="10"/>
        <color theme="1"/>
        <rFont val="Calibri"/>
        <family val="2"/>
        <scheme val="minor"/>
      </rPr>
      <t xml:space="preserve">
Confirm this program will support ETM based timing signoff on customer side. (Fill N/A if it doesn't support ETM based timing signoff on customer side, check with design team or PM about the details)</t>
    </r>
  </si>
  <si>
    <r>
      <rPr>
        <b/>
        <sz val="10"/>
        <color theme="1"/>
        <rFont val="Calibri"/>
        <family val="2"/>
        <scheme val="minor"/>
      </rPr>
      <t>[ETMQA check]</t>
    </r>
    <r>
      <rPr>
        <sz val="10"/>
        <color theme="1"/>
        <rFont val="Calibri"/>
        <family val="2"/>
        <scheme val="minor"/>
      </rPr>
      <t xml:space="preserve">
Confirm there is no issue for ETMQA flow. You can refer to /projects/workbench/versions/workbench_v0.8/workbench/kits/wrapper/etmQA_review_guide about how to check the results. Please contact ipg_mig_arch_pd if you run into any issue for the flow. （Fill N/A if customer will not run ETM based STA)</t>
    </r>
  </si>
  <si>
    <r>
      <rPr>
        <b/>
        <sz val="10"/>
        <color theme="1"/>
        <rFont val="Calibri"/>
        <family val="2"/>
        <scheme val="minor"/>
      </rPr>
      <t>[ETMQA check]</t>
    </r>
    <r>
      <rPr>
        <sz val="10"/>
        <color theme="1"/>
        <rFont val="Calibri"/>
        <family val="2"/>
        <scheme val="minor"/>
      </rPr>
      <t xml:space="preserve">
Please provide the ETMQA run dir in comment. （Fill N/A if customer will not run ETM based STA)</t>
    </r>
  </si>
  <si>
    <t>IMP-7-0-0-00</t>
  </si>
  <si>
    <t>IMP-7-0-0-01</t>
  </si>
  <si>
    <t>IMP-7-0-0-02</t>
  </si>
  <si>
    <t>IMP-7-0-0-03</t>
  </si>
  <si>
    <t>IMP-7-0-0-04</t>
  </si>
  <si>
    <t>IMP-7-0-0-05</t>
  </si>
  <si>
    <t>IMP-9-0-0-00</t>
  </si>
  <si>
    <t>IMP-9-0-0-01</t>
  </si>
  <si>
    <t>IMP-9-0-0-02</t>
  </si>
  <si>
    <t>IMP-9-0-0-03</t>
  </si>
  <si>
    <t>IMP-9-0-0-04</t>
  </si>
  <si>
    <t>IMP-9-0-0-05</t>
  </si>
  <si>
    <t>IMP-9-0-0-06</t>
  </si>
  <si>
    <t>IMP-9-0-0-07</t>
  </si>
  <si>
    <r>
      <t xml:space="preserve">Confirm you followed the below document about IPTAG creation. If you have further question, please check with Tobing.
</t>
    </r>
    <r>
      <rPr>
        <b/>
        <sz val="10"/>
        <color theme="1"/>
        <rFont val="Calibri"/>
        <family val="2"/>
        <scheme val="minor"/>
      </rPr>
      <t xml:space="preserve">HSPHY/HPPHY/DFPHY/GDDR/HBM: </t>
    </r>
    <r>
      <rPr>
        <sz val="10"/>
        <color theme="1"/>
        <rFont val="Calibri"/>
        <family val="2"/>
        <scheme val="minor"/>
      </rPr>
      <t xml:space="preserve">
https://cadence.sharepoint.com/:w:/r/sites/IPGroup/DesignIP/Quality/_layouts/15/Doc.aspx?sourcedoc=%7B26DAB946-483A-415F-AC0C-C195C0838506%7D&amp;file=IP%20Number%20Format%20-%20DDR%20PHY.docx&amp;wdLOR=cF5835961-1465-461D-BAFD-3F0590F6A7F9&amp;action=default&amp;mobileredirect=true
</t>
    </r>
    <r>
      <rPr>
        <b/>
        <sz val="10"/>
        <color theme="1"/>
        <rFont val="Calibri"/>
        <family val="2"/>
        <scheme val="minor"/>
      </rPr>
      <t>SERDES:</t>
    </r>
    <r>
      <rPr>
        <sz val="10"/>
        <color theme="1"/>
        <rFont val="Calibri"/>
        <family val="2"/>
        <scheme val="minor"/>
      </rPr>
      <t xml:space="preserve">
https://cadence.sharepoint.com/:w:/r/sites/IPGroup/DesignIP/Quality/IP_Numbers/IP%20Number%20Format%20-%20SerDes.docx?d=wf015c37bca9b4d3d951589cf616333fe&amp;csf=1&amp;web=1</t>
    </r>
  </si>
  <si>
    <t>Name</t>
  </si>
  <si>
    <t>Sign-Off Date</t>
  </si>
  <si>
    <t xml:space="preserve">Program Management : </t>
  </si>
  <si>
    <t xml:space="preserve">Verication Lead : </t>
  </si>
  <si>
    <t xml:space="preserve">RTL Design Lead : </t>
  </si>
  <si>
    <t xml:space="preserve">AMS Design Lead : </t>
  </si>
  <si>
    <t xml:space="preserve">Physical Design Lead : </t>
  </si>
  <si>
    <t xml:space="preserve">STA Signoff Lead : </t>
  </si>
  <si>
    <t xml:space="preserve">Peer Reviewer : </t>
  </si>
  <si>
    <t>Project Info</t>
  </si>
  <si>
    <t xml:space="preserve">Enterprise Name : </t>
  </si>
  <si>
    <t>eg: socionext.milpitas.n1-DDR5_CTL_PHY_DF</t>
  </si>
  <si>
    <t xml:space="preserve">Protocols : </t>
  </si>
  <si>
    <t>eg: DDR5</t>
  </si>
  <si>
    <t>eg: 8400Mbps</t>
  </si>
  <si>
    <t>eg: 1050MHz</t>
  </si>
  <si>
    <t xml:space="preserve">Max Data Rate : </t>
  </si>
  <si>
    <t xml:space="preserve">Main Clock Freq : </t>
  </si>
  <si>
    <t xml:space="preserve">Process : </t>
  </si>
  <si>
    <t>eg: TSMC N3P</t>
  </si>
  <si>
    <t xml:space="preserve">Max Physical Ranks (DDR only) : </t>
  </si>
  <si>
    <t>eg: 4</t>
  </si>
  <si>
    <t xml:space="preserve">Bits Information : </t>
  </si>
  <si>
    <t>eg: 80 bits</t>
  </si>
  <si>
    <t xml:space="preserve">DFI Frequency Ratio (DDR/GDDR only): </t>
  </si>
  <si>
    <t>eg: 4:1</t>
  </si>
  <si>
    <t xml:space="preserve">Metal Stack : </t>
  </si>
  <si>
    <t>eg:17M_1Xa1Xb1Xc1Xd1Ya1Yb4Y2Yy2Yx2R_UTRDL</t>
  </si>
  <si>
    <t xml:space="preserve">Core Voltage : </t>
  </si>
  <si>
    <t>eg: ND:0.75V/OD 0.85V</t>
  </si>
  <si>
    <t xml:space="preserve"> 1.0 - LIBRARY CHECK (GENERAL FOR ALL IPS)</t>
  </si>
  <si>
    <t>List standard cell libraries used for implementation and signoff.</t>
  </si>
  <si>
    <t>List all other libraries used for implementation and signoff (eg: IO/PLL/DCC/BUMP/PLL/NoiseGen/ProcessMoniter/etc).</t>
  </si>
  <si>
    <t>Confirm the version of all the libraries used for this project are correct and match to addendum.</t>
  </si>
  <si>
    <t>List Innovus gdsout map name.
eg: PRTF_Innovus_N3P_gdsout_17M_1Xa_h_1Xb_v_1Xc_h_1Xd_v_1Ya_h_1Yb_v_4Y_hvhv_2Yy2Yx2R_SHDMIM.10c.map</t>
  </si>
  <si>
    <t>List Innovus Tech Lef name.
eg:N16_Encounter_11M_2Xa1Xd3Xe2Y2R_UTRDL_9T_PODE_1.2a.tlef</t>
  </si>
  <si>
    <t>List BEOL dummy rule deck name.
eg: Dummy_BEOL_Pegasus_3nm_E_17M_1Xa1Xb1Xc1Xd1Ya1Yb4Y2Yy2Yx2R_014.11_1a</t>
  </si>
  <si>
    <t>List FEOL dummy rule deck name.
eg: Dummy_FEOL_Pegasus_3nm_E_17M_1Xa1Xb1Xc1Xd1Ya1Yb4Y2Yy2Yx2R_014.11_1a</t>
  </si>
  <si>
    <t>List COD dummy rule deck name (fill N/A if no COD).
eg: PLN16FFP_FINcut_AutoGen.11b.encrypt</t>
  </si>
  <si>
    <t>List Spice Model used for PGV generation.
eg: tsmc3gp.a.4/models/spectre_v1d0_2p6/ir_em.scs</t>
  </si>
  <si>
    <t>List EM irxc rule deck name.
eg: ICT_EM_v1d0p1a/cln3p_1p17m+ut-alrdl_1xa1xb1xc1xd1ya1yb4y2yy2yx2r_shdmim.ictem</t>
  </si>
  <si>
    <t>List QRC techfile name.
eg: 17M1Xa1Xb1Xc1Xd1Ya1Yb4Y2Yy2Yx2R_SHDMIM_UT/fs_v1d0p1a</t>
  </si>
  <si>
    <t>List Tempus timing signoff tool version (eg. ssv/231/23.12-s092_1)</t>
  </si>
  <si>
    <t>List Conformal LEC tool version (eg. confrml/241/24.10.100)</t>
  </si>
  <si>
    <t>List Quantus RC extration tool version (eg. quantus/231/23.11.000)</t>
  </si>
  <si>
    <t>List Innovus implementation tool version (eg. innovus/221/22.11-s119_1)</t>
  </si>
  <si>
    <t>List Voltus power and EMIR signoff tool version (eg. quantus/231/23.11.000)</t>
  </si>
  <si>
    <t>List Pegasus physical signoff tool version (eg. pegasus/232/23.25.000)</t>
  </si>
  <si>
    <t xml:space="preserve"> 2.0 - TECHFILE AND RULE DECK CHECK (GENERAL FOR ALL IPS)</t>
  </si>
  <si>
    <t xml:space="preserve"> 3.0 - TOOL VERSION (GENERAL FOR ALL IPS)</t>
  </si>
  <si>
    <t>IMP-8-0-0-06</t>
  </si>
  <si>
    <t>IMP-8-0-0-07</t>
  </si>
  <si>
    <t>IMP-8-0-0-08</t>
  </si>
  <si>
    <t>IMP-8-0-0-09</t>
  </si>
  <si>
    <t>IMP-8-0-0-10</t>
  </si>
  <si>
    <t>IMP-8-0-0-11</t>
  </si>
  <si>
    <t>IMP-8-0-0-12</t>
  </si>
  <si>
    <t>IMP-8-0-0-13</t>
  </si>
  <si>
    <t>IMP-8-0-0-14</t>
  </si>
  <si>
    <t>IMP-8-0-0-15</t>
  </si>
  <si>
    <t>IMP-8-0-0-16</t>
  </si>
  <si>
    <t>IMP-8-0-0-17</t>
  </si>
  <si>
    <t>MIG-IMP-8-1-0-00</t>
  </si>
  <si>
    <t>MIG-IMP-8-1-0-01</t>
  </si>
  <si>
    <t>MIG-IMP-8-1-0-02</t>
  </si>
  <si>
    <t>MIG-IMP-8-1-1-00</t>
  </si>
  <si>
    <t>MIG-IMP-8-1-1-01</t>
  </si>
  <si>
    <t>MIG-IMP-8-1-1-02</t>
  </si>
  <si>
    <t>IMP-10-0-0-00</t>
  </si>
  <si>
    <t>IMP-10-0-0-01</t>
  </si>
  <si>
    <t>IMP-10-0-0-02</t>
  </si>
  <si>
    <t>IMP-10-0-0-03</t>
  </si>
  <si>
    <t>IMP-10-0-0-04</t>
  </si>
  <si>
    <t>IMP-11-0-0-00</t>
  </si>
  <si>
    <t>IMP-11-0-0-01</t>
  </si>
  <si>
    <t>IMP-11-0-0-02</t>
  </si>
  <si>
    <t>IMP-11-0-0-03</t>
  </si>
  <si>
    <t>IMP-11-0-0-04</t>
  </si>
  <si>
    <t>IMP-11-0-0-05</t>
  </si>
  <si>
    <t>IMP-12-0-0-00</t>
  </si>
  <si>
    <t>IMP-12-0-0-01</t>
  </si>
  <si>
    <t>IMP-12-0-0-02</t>
  </si>
  <si>
    <t>IMP-12-0-0-03</t>
  </si>
  <si>
    <t>IMP-12-0-0-04</t>
  </si>
  <si>
    <t>IMP-12-0-0-05</t>
  </si>
  <si>
    <t>DATA-1-0-0-00</t>
  </si>
  <si>
    <t>DATA-1-0-0-01</t>
  </si>
  <si>
    <t>DATA-1-0-0-02</t>
  </si>
  <si>
    <t xml:space="preserve"> 1.0 - LEF CHECK (GENERAL FOR ALL IPS)</t>
  </si>
  <si>
    <t>Confirm two LEF file (.lef and .nocutobs.lef) are included in the delivery package.</t>
  </si>
  <si>
    <t>Confirm the LUP_* OBS information in hard macro like IO are propogated and presented in lef file. (check the Note)</t>
  </si>
  <si>
    <t>Confirm the LEF file follow the naming convention {design_name}.lef and {design_name}.nocutobs.lef?</t>
  </si>
  <si>
    <t>DATA-1-0-0-03</t>
  </si>
  <si>
    <t>DATA-1-0-0-04</t>
  </si>
  <si>
    <t>DATA-1-0-0-05</t>
  </si>
  <si>
    <t>DATA-1-0-0-06</t>
  </si>
  <si>
    <t xml:space="preserve"> 2.0 - LIB CHECK  (GENERAL FOR ALL IPS)</t>
  </si>
  <si>
    <t>Confirm full corner full mode .lib timing model files are included in the final delivery package.</t>
  </si>
  <si>
    <t>DATA-2-0-0-00</t>
  </si>
  <si>
    <t>DATA-2-0-0-01</t>
  </si>
  <si>
    <t>DATA-2-0-0-02</t>
  </si>
  <si>
    <t>DATA-2-0-0-03</t>
  </si>
  <si>
    <t>DATA-2-0-0-04</t>
  </si>
  <si>
    <t>DATA-2-0-0-05</t>
  </si>
  <si>
    <t>DATA-2-0-0-06</t>
  </si>
  <si>
    <t>DATA-2-0-0-07</t>
  </si>
  <si>
    <t xml:space="preserve"> 3.0 - NETLIST CHECK (GENERAL FOR ALL IPS)</t>
  </si>
  <si>
    <t xml:space="preserve">Confirm there is no physical only cell in function netlist. </t>
  </si>
  <si>
    <t>Confirm .v.gz netlist is included in initial and stable delivery pacakge. 
Confirm two netlist files (.v.gz and .pg.v.gz) are included in the final delivery package.</t>
  </si>
  <si>
    <t xml:space="preserve"> 4.0 - CTSMDL CHECK (GENERAL FOR ALL IPS)</t>
  </si>
  <si>
    <t>DATA-4-0-0-00</t>
  </si>
  <si>
    <t>DATA-4-0-0-01</t>
  </si>
  <si>
    <t xml:space="preserve"> 5.0 - SDF CHECK  (GENERAL FOR ALL IPS)</t>
  </si>
  <si>
    <t xml:space="preserve">Confirm  SDF files are included in the delivery package. </t>
  </si>
  <si>
    <t>DATA-5-0-0-00</t>
  </si>
  <si>
    <t>DATA-5-0-0-01</t>
  </si>
  <si>
    <t xml:space="preserve"> 6.0 - SPEF CHECK  (GENERAL FOR ALL IPS)</t>
  </si>
  <si>
    <t>DATA-6-0-0-00</t>
  </si>
  <si>
    <t>DATA-6-0-0-01</t>
  </si>
  <si>
    <t>MIG-DATA-6-0-0-00</t>
  </si>
  <si>
    <t>DATA-7-0-0-00</t>
  </si>
  <si>
    <t>DATA-7-0-0-01</t>
  </si>
  <si>
    <t>DATA-7-0-0-02</t>
  </si>
  <si>
    <t>DATA-7-0-0-03</t>
  </si>
  <si>
    <t>DATA-7-0-0-04</t>
  </si>
  <si>
    <t>DATA-7-0-0-05</t>
  </si>
  <si>
    <t>DATA-7-0-0-06</t>
  </si>
  <si>
    <t xml:space="preserve"> 7.0 - GDS CHECK  (GENERAL FOR ALL IPS)</t>
  </si>
  <si>
    <t>Confirm the released gds is uniquified gds.For some process tech nodes, the gds name has length limiation like TSMCN5 will have 127 or few characters limiatation. Please check the foundry document.</t>
  </si>
  <si>
    <t>DATA-3-0-0-00</t>
  </si>
  <si>
    <t>DATA-3-0-0-01</t>
  </si>
  <si>
    <t>DATA-3-0-0-02</t>
  </si>
  <si>
    <t>DATA-3-0-0-03</t>
  </si>
  <si>
    <t>DATA-3-0-0-04</t>
  </si>
  <si>
    <t>DATA-3-0-0-05</t>
  </si>
  <si>
    <t xml:space="preserve"> 8.0 - CDL CHECK  (GENERAL FOR ALL IPS)</t>
  </si>
  <si>
    <t>DATA-8-0-0-00</t>
  </si>
  <si>
    <t>DATA-8-0-0-01</t>
  </si>
  <si>
    <t>DATA-8-0-0-02</t>
  </si>
  <si>
    <t xml:space="preserve"> 9.0 - UPF CHECK  (GENERAL FOR ALL IPS)</t>
  </si>
  <si>
    <t xml:space="preserve"> 10.0 - PV CHECK  (GENERAL FOR ALL IPS)</t>
  </si>
  <si>
    <t>Confirm the ANT check report/db/log {design_name}.ant.{rep|db|log} files are included in delivery package.</t>
  </si>
  <si>
    <t>Confirm the DRC check report/db/log {design_name}.drc.{rep|db|log} files are included in delivery package.</t>
  </si>
  <si>
    <t>Confirm the PKG check report/db/log {design_name}.pkg.{rep|db|log} files are included in delivery package. (Hard PHY only, N/A for firm PHY)</t>
  </si>
  <si>
    <t>Confirm the LVS check report/extract/log  {design_name}.lvs.{rep|rep.ext|log} files are included in delivery package.</t>
  </si>
  <si>
    <t>Confirm the ERC check report {design_name}.erc.{rep|db} files are included in delivery package.</t>
  </si>
  <si>
    <t>Confirm the ARC check report/db/log {design_name}.arc.{rep|db|log} files are included in delivery package. (only for BRCM projects, N/A for others)</t>
  </si>
  <si>
    <t>Confrim the DFM check report/db/log  {design_name}.dfm.{rep|db|log} and  {design_name}.lpa.rep files are included in delivery package. (only for SEC process, N/A for others)</t>
  </si>
  <si>
    <t>Confrim the FLT check report/db/log  {design_name}.flt.{rep|db|log} files are included in  delivery package. (only for SEC process, N/A for others)</t>
  </si>
  <si>
    <t>DATA-10-0-0-00</t>
  </si>
  <si>
    <t>DATA-10-0-0-01</t>
  </si>
  <si>
    <t>DATA-10-0-0-02</t>
  </si>
  <si>
    <t>DATA-10-0-0-03</t>
  </si>
  <si>
    <t>DATA-10-0-0-04</t>
  </si>
  <si>
    <t>DATA-10-0-0-05</t>
  </si>
  <si>
    <t>DATA-10-0-0-06</t>
  </si>
  <si>
    <t>DATA-10-0-0-07</t>
  </si>
  <si>
    <t>DATA-10-0-0-08</t>
  </si>
  <si>
    <t xml:space="preserve"> 11.0 - RELEASE_NOTES CHECK  (GENERAL FOR ALL IPS)</t>
  </si>
  <si>
    <t xml:space="preserve"> 11.1 - RELEASE_NOTES CHECK  (ONLY FOR MIG HSPHY/HPPHY/DFPHY/GDDRPHY)</t>
  </si>
  <si>
    <t>Confirm the RELEASE_NOTES file location is &lt;project_root_dir&gt;/release/&lt;release_package&gt;/cdn_memory_phy/RELEASE_NOTES.</t>
  </si>
  <si>
    <t>Confirm the RELEASE_TREE file location is &lt;project_root_dir&gt;/release/&lt;release_package&gt;/cdn_memory_phy/RELEASE_TREE.</t>
  </si>
  <si>
    <r>
      <t>Confirm put the databahn_tarball_name to RELEASE_NOTES file. (request by delivery team, only need for initial/stable delivery, fill</t>
    </r>
    <r>
      <rPr>
        <b/>
        <sz val="10"/>
        <color theme="1"/>
        <rFont val="Calibri"/>
        <family val="2"/>
        <scheme val="minor"/>
      </rPr>
      <t xml:space="preserve"> NA</t>
    </r>
    <r>
      <rPr>
        <sz val="10"/>
        <color theme="1"/>
        <rFont val="Calibri"/>
        <family val="2"/>
        <scheme val="minor"/>
      </rPr>
      <t xml:space="preserve"> for final delivery.)
PD team need to  send LEC package first in jira as usual and delivery team will reply databahn tarball name in the same jira, then PD add the following line to BE RELEASE_NOTE in datapackage.
-- This  BE release is aligned with </t>
    </r>
    <r>
      <rPr>
        <b/>
        <sz val="10"/>
        <color theme="1"/>
        <rFont val="Calibri"/>
        <family val="2"/>
        <scheme val="minor"/>
      </rPr>
      <t>&lt;databahn tarball name&gt;</t>
    </r>
  </si>
  <si>
    <t>DATA-11-1-0-00</t>
  </si>
  <si>
    <t>DATA-11-1-0-01</t>
  </si>
  <si>
    <t>DATA-11-0-0-00</t>
  </si>
  <si>
    <t>DATA-11-0-0-01</t>
  </si>
  <si>
    <t>DATA-11-0-0-02</t>
  </si>
  <si>
    <t>DATA-11-0-0-03</t>
  </si>
  <si>
    <t>DATA-11-0-0-04</t>
  </si>
  <si>
    <t>DATA-11-0-0-05</t>
  </si>
  <si>
    <t>DATA-11-0-0-06</t>
  </si>
  <si>
    <t>DATA-11-0-0-07</t>
  </si>
  <si>
    <t>DATA-11-0-0-08</t>
  </si>
  <si>
    <t>DATA-11-0-0-09</t>
  </si>
  <si>
    <t>DATA-11-0-0-10</t>
  </si>
  <si>
    <t>DATA-11-0-0-11</t>
  </si>
  <si>
    <t>DATA-12-0-0-00</t>
  </si>
  <si>
    <t>DATA-12-0-0-01</t>
  </si>
  <si>
    <t>DATA-13-0-0-00</t>
  </si>
  <si>
    <t>DATA-13-0-0-01</t>
  </si>
  <si>
    <t>DATA-13-0-0-02</t>
  </si>
  <si>
    <t>DATA-13-0-0-03</t>
  </si>
  <si>
    <t>DATA-13-0-0-04</t>
  </si>
  <si>
    <t xml:space="preserve"> 12.0 - HANDOVER TO DELIVERY TEAM CHECK  (GENERAL FOR ALL IPS)</t>
  </si>
  <si>
    <t xml:space="preserve"> 13.0 - CHECKIT CHECK  (GENERAL FOR ALL IPS)</t>
  </si>
  <si>
    <t>DATA-13-0-0-05</t>
  </si>
  <si>
    <t xml:space="preserve"> 14.0 - PACKAGE STANDALONE QA CHECK  (GENERAL FOR ALL IPS)</t>
  </si>
  <si>
    <t>DATA-14-0-0-00</t>
  </si>
  <si>
    <t>DATA-14-0-0-01</t>
  </si>
  <si>
    <t>DATA-14-0-0-02</t>
  </si>
  <si>
    <t>DATA-14-0-0-03</t>
  </si>
  <si>
    <t>DATA-14-0-0-04</t>
  </si>
  <si>
    <t xml:space="preserve"> 15.0 - HANDOVER TO DELIVERY TEAM CHECK  (GENERAL FOR ALL IPS)</t>
  </si>
  <si>
    <t>DATA-15-0-0-00</t>
  </si>
  <si>
    <t>WAIVER-1-0-0-00</t>
  </si>
  <si>
    <t>List all waivers to POWER/EMIR signoff with waiver justification in comments</t>
  </si>
  <si>
    <t xml:space="preserve"> 2.0 - POWER/EMIR SIGNOFF WAIVER (GENERAL FOR ALL IPS)</t>
  </si>
  <si>
    <t xml:space="preserve"> 3.0 - PV SIGNOFF WAIVER (GENERAL FOR ALL IPS)</t>
  </si>
  <si>
    <t>WAIVER-2-0-0-00</t>
  </si>
  <si>
    <t>WAIVER-3-0-0-00</t>
  </si>
  <si>
    <t>List all waivers to PV(DRC/LVS/ERC/ANT/PKG/DFM/FLT/etc) signoff with waiver justification in comments</t>
  </si>
  <si>
    <t>WAIVER-4-0-0-00</t>
  </si>
  <si>
    <t xml:space="preserve"> 4.0 - PERC SIGNOFF WAIVER (GENERAL FOR ALL IPS)</t>
  </si>
  <si>
    <t>List all waivers to PERC signoff with waiver justification in comments. Can provide the PERC waiver pdf in collumn H.</t>
  </si>
  <si>
    <t xml:space="preserve"> 1.0 - TIMING/DCD SIGNOFF WAIVER (GENERAL FOR ALL IPS)</t>
  </si>
  <si>
    <t>List all waivers to timing/DCD signoff with waiver justification in comments</t>
  </si>
  <si>
    <t>WAIVER-5-0-0-00</t>
  </si>
  <si>
    <t>WAIVER-6-0-0-00</t>
  </si>
  <si>
    <t>List all waivers about CHECKIT check.</t>
  </si>
  <si>
    <t>List all other waivers which are not listed in above sections.</t>
  </si>
  <si>
    <t xml:space="preserve"> 5.0 - CHECKIT WAIVER (GENERAL FOR ALL IPS)</t>
  </si>
  <si>
    <t xml:space="preserve"> 6.0 - ANY OTHER WAIVER (GENERAL FOR ALL IPS)</t>
  </si>
  <si>
    <t xml:space="preserve"> 1.0 - FINAL  DATA FOR BACK TRACKING (GENERAL FOR ALL IPS)</t>
  </si>
  <si>
    <t>FINAL-1-0-0-00</t>
  </si>
  <si>
    <t>List Innovus Final Database dir in comments (all blocks)</t>
  </si>
  <si>
    <t>List PV Final run dir in comments (at least top module)</t>
  </si>
  <si>
    <t>List EMIR Final run dir in comments (at least top module)</t>
  </si>
  <si>
    <t>List DCD Final run  dir in comments (all blocks with need DCD check. Fill N/A if no DCD requirement)</t>
  </si>
  <si>
    <t>List Power Evaluation Final run dir in comments (at least top module, only for MIG)</t>
  </si>
  <si>
    <t>List STA Final run dir in comments (all blocks)</t>
  </si>
  <si>
    <t>List QRC Final run dir in comments (all blocks)</t>
  </si>
  <si>
    <t>List LEC Final run dir in comments(all blocks)</t>
  </si>
  <si>
    <t>List ETM lib post-process run path(at least top module. Fill N/A if no lib  post-process)</t>
  </si>
  <si>
    <t>FINAL-1-0-0-01</t>
  </si>
  <si>
    <t>FINAL-1-0-0-02</t>
  </si>
  <si>
    <t>FINAL-1-0-0-03</t>
  </si>
  <si>
    <t>FINAL-1-0-0-04</t>
  </si>
  <si>
    <t>FINAL-1-0-0-05</t>
  </si>
  <si>
    <t>FINAL-1-0-0-06</t>
  </si>
  <si>
    <t>FINAL-1-0-0-07</t>
  </si>
  <si>
    <t>FINAL-1-0-0-08</t>
  </si>
  <si>
    <t xml:space="preserve"> 2.0 - FLOORPLAN SNAPSHOT WITH WIDTH/HEIGHT INFO(GENERAL FOR ALL IPS)</t>
  </si>
  <si>
    <t>FINAL-2-0-0-00</t>
  </si>
  <si>
    <t>Capture the floorplan snapshot with width/height information in below section. (cut out shape is also needed if have)</t>
  </si>
  <si>
    <t xml:space="preserve">FLOORPLAN SNAPSHOT: </t>
  </si>
  <si>
    <t>HEIGHT:</t>
  </si>
  <si>
    <t>WIDTH:</t>
  </si>
  <si>
    <t>List EM temperature in your check.</t>
  </si>
  <si>
    <t>List the VT ratio (without physical cells):
EG:
TSMCN7/N6:SVT(50%)/LVT(40%)/ULVT(10%)
TSMCN5/N4/N3/N2:SVT(50%)/LVTLL(20%)/LVT(20%)/ULVTLL(5%)/ULVT(5%)/ELVT(0%)
SEC:RVT(50%)/LVT(40%)/SLVT(10%)
INTl_I3/18A:ad(HVT 30%)/ac(SVT 20%)/ab(LVT 30%)/aa(ULVT 20%)</t>
  </si>
  <si>
    <t>List default continous operation years in design rule. (eg: 10 years)</t>
  </si>
  <si>
    <t>List default EM temperature in design rule. (eg. 105C/110C)</t>
  </si>
  <si>
    <t>IMP-8-0-0-18</t>
  </si>
  <si>
    <t>IMP-8-0-0-19</t>
  </si>
  <si>
    <t>IMP-8-0-0-20</t>
  </si>
  <si>
    <t>IMP-8-0-0-21</t>
  </si>
  <si>
    <t>IMP-8-0-0-22</t>
  </si>
  <si>
    <t>IMP-8-0-0-23</t>
  </si>
  <si>
    <t>Internal 
Power</t>
  </si>
  <si>
    <t>Switching 
Power</t>
  </si>
  <si>
    <t>Leakage Power</t>
  </si>
  <si>
    <t>Total  Power</t>
  </si>
  <si>
    <t>VDD</t>
  </si>
  <si>
    <t>Min</t>
  </si>
  <si>
    <t>Ave</t>
  </si>
  <si>
    <t>Max</t>
  </si>
  <si>
    <t>IR-drop</t>
  </si>
  <si>
    <t>unconnected nodes</t>
  </si>
  <si>
    <t>total current</t>
  </si>
  <si>
    <t>VSS</t>
  </si>
  <si>
    <t>RMS</t>
  </si>
  <si>
    <t>PEAK</t>
  </si>
  <si>
    <t>AVG</t>
  </si>
  <si>
    <t>ALL</t>
  </si>
  <si>
    <t>wake-up time</t>
  </si>
  <si>
    <t>rush-current</t>
  </si>
  <si>
    <t>IMP-1-0-0-03</t>
  </si>
  <si>
    <t>Confirm clock constraints in the SDC match or exceed the specified requirements?</t>
  </si>
  <si>
    <t>Confirm clock duty cycle constraints were reviewed for each clock and match or exceed specified requirements?</t>
  </si>
  <si>
    <t>Confirm clock uncertainty constraints account for cycle-to-cycle jitter for all clocks?</t>
  </si>
  <si>
    <t>Confirm clock uncertainty constraints account for duty cycle distortion and duty cycle jitter for all clocks?</t>
  </si>
  <si>
    <t>Confirm minimum uncertainty guidelines from foundry were followed and included in constraints?</t>
  </si>
  <si>
    <t>Confirm clock uncertainties were reviewed for test modes (scan clocks coming from a different source, supported tester specs, etc.)?</t>
  </si>
  <si>
    <t>Confirm all I/O constraints meet specified requirements?</t>
  </si>
  <si>
    <t>Confirm all unconstrained paths and IOs have been peer reviewed and approved?</t>
  </si>
  <si>
    <t>Confirm all path exceptions (false paths, multicycle, max delay) have been peer reviewed and approved?</t>
  </si>
  <si>
    <t>Confirm SDC contains all necessary Functional, DFT and power modes (including voltage scaling mode/reduced voltage and/or performance)?</t>
  </si>
  <si>
    <t>Confrim proper clock and data transition limit values were set?</t>
  </si>
  <si>
    <t>IMP-4-0-0-06</t>
  </si>
  <si>
    <t>IMP-4-0-0-07</t>
  </si>
  <si>
    <t>IMP-4-0-0-08</t>
  </si>
  <si>
    <t>IMP-4-0-0-09</t>
  </si>
  <si>
    <t>IMP-4-0-0-10</t>
  </si>
  <si>
    <t>HPP/HSS/HBM</t>
  </si>
  <si>
    <t>Confirm synthesis is using lib models for timing?</t>
  </si>
  <si>
    <t>Confirm synthesis is using lef data for PLE optimization?</t>
  </si>
  <si>
    <t>Confirm synthesis is using qrc tech file for RC data?</t>
  </si>
  <si>
    <t>Confirm synthesis log has been peer reviewed and all warnings are understood and annotated with an explanation?</t>
  </si>
  <si>
    <t>Confirm synthesis Quality Of Results (QOR) meets requirements (timing, area, power)?</t>
  </si>
  <si>
    <t>Confirm scan is successfully inserted and non-scannable flops have been peer reviewed and waived?</t>
  </si>
  <si>
    <t>Confirm that there are no other violations or errors (max cap, max transition etc)?</t>
  </si>
  <si>
    <t>Confirm all DFT checks pass?</t>
  </si>
  <si>
    <t>Confirm CPF/UPF file  has passed Conformal LP quality checks against RTL prior to synthesis?</t>
  </si>
  <si>
    <t>Confirm CPF/UPF file  has passed Conformal LP quality checks against post DFT insertion synthesis netlist?</t>
  </si>
  <si>
    <t xml:space="preserve">Document DFT Stuck-At % generated by the DFT flow and confirm this value meets or exceeds the DFT CoE expected value? </t>
  </si>
  <si>
    <t>Document DFT Transition % generated by the DFT flow and confirm this value meets or exceeds the DFT CoE expected value?</t>
  </si>
  <si>
    <t>Confirm target standard cell library corners are correct?</t>
  </si>
  <si>
    <t>IMP-1-0-0-04</t>
  </si>
  <si>
    <t>Confirm don't use cell list includes forbidden cells specified in IMP-1-0-0-02?</t>
  </si>
  <si>
    <t>Confirm conformal constraints have been peer reviewed and approved?</t>
  </si>
  <si>
    <t>Confirm conformal log file has been peer reviewed and all warnings have a waiver/explanation?</t>
  </si>
  <si>
    <t>Confirm all listed black boxes are intended?</t>
  </si>
  <si>
    <t>Confirm all user defined black boxes have port definitions declared?   
(.lib or verilog stub file)</t>
  </si>
  <si>
    <t>Confirm no aborted compare points exist in log files or reports?</t>
  </si>
  <si>
    <t>Confirm no non-equivalent points exist?</t>
  </si>
  <si>
    <t>Confirm all unmapped compare points have been peer reviewed and annotated with a waiver/explanation?</t>
  </si>
  <si>
    <t>Provide links to Jira Waiver issues as documentary evidence of peer review and waiver agreement where required.</t>
  </si>
  <si>
    <t>Provide links to Jira Waiver issues as documentary evidence of peer review and waiver agreement to proceed if constraints for any mode are missing or incomplete.</t>
  </si>
  <si>
    <t>Provide a list of values used in comment field.</t>
  </si>
  <si>
    <r>
      <t xml:space="preserve"> 4.0 - CONSTRAINT CHECK  (GENERAL FOR ALL IPS </t>
    </r>
    <r>
      <rPr>
        <b/>
        <sz val="10"/>
        <color rgb="FFFF0000"/>
        <rFont val="Calibri"/>
        <family val="2"/>
        <scheme val="minor"/>
      </rPr>
      <t>EXCEPT MIG</t>
    </r>
    <r>
      <rPr>
        <b/>
        <sz val="10"/>
        <color theme="1"/>
        <rFont val="Calibri"/>
        <family val="2"/>
        <scheme val="minor"/>
      </rPr>
      <t>. MIG HAS FEI TEAM TO HANDLE SYNTHESIS PART)</t>
    </r>
  </si>
  <si>
    <r>
      <t xml:space="preserve"> 5.0 - SYNTHESIS CHECK  (GENERAL FOR ALL IPS </t>
    </r>
    <r>
      <rPr>
        <b/>
        <sz val="10"/>
        <color rgb="FFFF0000"/>
        <rFont val="Calibri"/>
        <family val="2"/>
        <scheme val="minor"/>
      </rPr>
      <t>EXCEPT MIG</t>
    </r>
    <r>
      <rPr>
        <b/>
        <sz val="10"/>
        <color theme="1"/>
        <rFont val="Calibri"/>
        <family val="2"/>
        <scheme val="minor"/>
      </rPr>
      <t>. MIG HAS FEI TEAM TO HANDLE SYNTHESIS PART)</t>
    </r>
  </si>
  <si>
    <r>
      <t xml:space="preserve"> 6.0 - POST SYNTHESIS LEC CHECK  (GENERAL FOR ALL IPS </t>
    </r>
    <r>
      <rPr>
        <b/>
        <sz val="10"/>
        <color rgb="FFFF0000"/>
        <rFont val="Calibri"/>
        <family val="2"/>
        <scheme val="minor"/>
      </rPr>
      <t>EXCEPT MIG</t>
    </r>
    <r>
      <rPr>
        <b/>
        <sz val="10"/>
        <color theme="1"/>
        <rFont val="Calibri"/>
        <family val="2"/>
        <scheme val="minor"/>
      </rPr>
      <t>. MIG HAS FEI TEAM TO HANDLE SYNTHESIS PART)</t>
    </r>
  </si>
  <si>
    <t>Please add a link to QOR reports</t>
  </si>
  <si>
    <t xml:space="preserve"> 7.0 - INNOVUS DESIGN IN CHECK (GENERAL FOR ALL IPS)</t>
  </si>
  <si>
    <t xml:space="preserve"> 8.0 - PHYSICAL IMPLEMENTATION CHECK  (GENERAL FOR ALL IPS)</t>
  </si>
  <si>
    <t>IMP-8-0-1-00</t>
  </si>
  <si>
    <t>IMP-8-0-1-01</t>
  </si>
  <si>
    <t>IMP-8-0-1-02</t>
  </si>
  <si>
    <t>IMP-8-0-1-03</t>
  </si>
  <si>
    <t>IMP-8-0-1-04</t>
  </si>
  <si>
    <t>IMP-8-0-1-05</t>
  </si>
  <si>
    <t>MIG-IMP-8-1-0-03</t>
  </si>
  <si>
    <t>MIG-IMP-8-1-0-04</t>
  </si>
  <si>
    <t>MIG-IMP-8-1-0-05</t>
  </si>
  <si>
    <t>MIG-IMP-8-1-0-06</t>
  </si>
  <si>
    <t>MIG-IMP-8-1-0-07</t>
  </si>
  <si>
    <t>MIG-IMP-8-1-0-08</t>
  </si>
  <si>
    <t>MIG-IMP-8-1-0-09</t>
  </si>
  <si>
    <t>MIG-IMP-8-1-0-10</t>
  </si>
  <si>
    <t>MIG-IMP-8-1-0-11</t>
  </si>
  <si>
    <t>MIG-IMP-8-1-0-12</t>
  </si>
  <si>
    <t>MIG-IMP-8-1-0-13</t>
  </si>
  <si>
    <t>MIG-IMP-8-1-0-14</t>
  </si>
  <si>
    <t>MIG-IMP-8-1-0-15</t>
  </si>
  <si>
    <t>MIG-IMP-8-1-0-16</t>
  </si>
  <si>
    <t>MIG-IMP-8-1-0-17</t>
  </si>
  <si>
    <t>MIG-IMP-8-1-1-03</t>
  </si>
  <si>
    <t>MIG-IMP-8-1-1-04</t>
  </si>
  <si>
    <t>MIG-IMP-8-1-1-05</t>
  </si>
  <si>
    <t>MIG-IMP-8-1-1-06</t>
  </si>
  <si>
    <t>MIG-IMP-8-1-1-07</t>
  </si>
  <si>
    <t>MIG-IMP-8-1-1-08</t>
  </si>
  <si>
    <t>MIG-IMP-8-1-1-09</t>
  </si>
  <si>
    <t>MIG-IMP-8-1-1-10</t>
  </si>
  <si>
    <t>MIG-IMP-8-1-1-11</t>
  </si>
  <si>
    <t>MIG-IMP-8-1-1-12</t>
  </si>
  <si>
    <t>MIG-IMP-8-1-1-13</t>
  </si>
  <si>
    <t>MIG-IMP-8-1-1-14</t>
  </si>
  <si>
    <t>MIG-IMP-8-1-1-15</t>
  </si>
  <si>
    <t>MIG-IMP-8-1-1-16</t>
  </si>
  <si>
    <t>MIG-IMP-8-1-1-17</t>
  </si>
  <si>
    <t>MIG-IMP-8-1-1-18</t>
  </si>
  <si>
    <t>MIG-IMP-8-1-1-19</t>
  </si>
  <si>
    <t>MIG-IMP-8-1-1-20</t>
  </si>
  <si>
    <t>MIG-IMP-8-1-1-21</t>
  </si>
  <si>
    <t>MIG-IMP-8-1-1-22</t>
  </si>
  <si>
    <t>MIG-IMP-8-1-1-23</t>
  </si>
  <si>
    <t>MIG-IMP-8-1-1-24</t>
  </si>
  <si>
    <t>MIG-IMP-8-1-1-25</t>
  </si>
  <si>
    <t>MIG-IMP-8-1-1-26</t>
  </si>
  <si>
    <t>MIG-IMP-8-1-1-27</t>
  </si>
  <si>
    <t>MIG-IMP-8-1-1-28</t>
  </si>
  <si>
    <t>MIG-IMP-8-1-1-29</t>
  </si>
  <si>
    <t>MIG-IMP-8-1-1-30</t>
  </si>
  <si>
    <t>MIG-IMP-8-1-1-31</t>
  </si>
  <si>
    <t>MIG-IMP-8-1-1-32</t>
  </si>
  <si>
    <t>MIG-IMP-8-1-2-00</t>
  </si>
  <si>
    <t>MIG-IMP-8-1-2-01</t>
  </si>
  <si>
    <t>MIG-IMP-8-1-2-02</t>
  </si>
  <si>
    <t>MIG-IMP-8-1-3-00</t>
  </si>
  <si>
    <t>MIG-IMP-8-1-3-01</t>
  </si>
  <si>
    <r>
      <t xml:space="preserve"> 8.1 - PHYSICAL IMPLEMENTATION CHECK (</t>
    </r>
    <r>
      <rPr>
        <b/>
        <sz val="10"/>
        <color rgb="FFFF0000"/>
        <rFont val="Calibri"/>
        <family val="2"/>
        <scheme val="minor"/>
      </rPr>
      <t>ONLY FOR MIG</t>
    </r>
    <r>
      <rPr>
        <b/>
        <sz val="10"/>
        <color theme="1"/>
        <rFont val="Calibri"/>
        <family val="2"/>
        <scheme val="minor"/>
      </rPr>
      <t xml:space="preserve"> HSPHY/HPPHY/DFPHY/GDDRPHY)</t>
    </r>
  </si>
  <si>
    <t>Confirm clock tree VT requirements were met.</t>
  </si>
  <si>
    <t>Confirm clock tree transitions meet requirement.</t>
  </si>
  <si>
    <t>Confirm clock tree latency requirements were met across all corners. Provide values in comments field.</t>
  </si>
  <si>
    <t>Confirm clock tree skew requirements are met.</t>
  </si>
  <si>
    <t>Confirm floorplan has been peer reviewed and agreed?</t>
  </si>
  <si>
    <t>Confirm area and density targets were met?</t>
  </si>
  <si>
    <t>Confirm all multiflop synchronizer registers are the intended celltype and VT type upon which MTBF was calculated.</t>
  </si>
  <si>
    <t>Confirm that all the multiflop synchronizer registers are placed close together and their clock pin connected to the same leaf buffer/inverter of the clock tree?</t>
  </si>
  <si>
    <t>Confirm power goals are met in all modes (Functional &amp; DFT) and corners using an activity file representative of each mode generated by Gate Level Simulation (GLS) on post PNR netlist?</t>
  </si>
  <si>
    <t>Confirm the design didn't use any don’t use cell of foundry and don’t_use cell list includes forbidden cells from IMP-1-0-0-02.</t>
  </si>
  <si>
    <t>Were approved buffer and delay cells used for hold fixing? Provide buffer list used for hold fixing in comments field.</t>
  </si>
  <si>
    <t>Confirm adequate decaps were added to meet design requirements?</t>
  </si>
  <si>
    <t>IMP-8-0-0-24</t>
  </si>
  <si>
    <t>Confirm spare cells or GA fill cells were added and placed evenly across the layout?</t>
  </si>
  <si>
    <t>If required, antenna diodes were added at the block/IP inputs.</t>
  </si>
  <si>
    <t>Confirm buffers were added close to each I/O and macro port.</t>
  </si>
  <si>
    <t>IMP-8-0-1-06</t>
  </si>
  <si>
    <t>IMP-8-0-1-07</t>
  </si>
  <si>
    <t xml:space="preserve">Confirm that set "don't touch" is applied to all high voltage nets inside core power domain which can't be buffered with core cells (ex: VDD*GONE net in DDR PHY) </t>
  </si>
  <si>
    <t xml:space="preserve">Confirm that proper NDR rule is applied to all high voltage nets inside core power domain to avoid HV spacing DRC violations (ex: VDD*GONE net in DDR PHY) </t>
  </si>
  <si>
    <t>IMP-8-0-1-08</t>
  </si>
  <si>
    <t>Confirm set "don't touch" is applied to all Analog Test Bus (ATB*) and any other analog signals which can't be buffered.</t>
  </si>
  <si>
    <t>IMP-11-0-0-06</t>
  </si>
  <si>
    <t>IMP-11-0-0-07</t>
  </si>
  <si>
    <t>IMP-11-0-0-08</t>
  </si>
  <si>
    <t>IMP-11-0-0-09</t>
  </si>
  <si>
    <t>IMP-13-0-0-00</t>
  </si>
  <si>
    <t>IMP-13-0-0-01</t>
  </si>
  <si>
    <t>IMP-13-0-0-02</t>
  </si>
  <si>
    <t>IMP-13-0-0-03</t>
  </si>
  <si>
    <t>IMP-13-0-0-04</t>
  </si>
  <si>
    <t>IMP-13-0-0-05</t>
  </si>
  <si>
    <t>IMP-13-0-0-06</t>
  </si>
  <si>
    <t>IMP-13-0-0-07</t>
  </si>
  <si>
    <t>IMP-10-0-0-05</t>
  </si>
  <si>
    <t>IMP-10-0-0-06</t>
  </si>
  <si>
    <t>IMP-10-0-0-07</t>
  </si>
  <si>
    <t>IMP-10-0-0-08</t>
  </si>
  <si>
    <t>Confirm proper rc/PVT corners were used for IR drop and EM analysis. List rc/PVT corners used in comments field.</t>
  </si>
  <si>
    <t>Confirm activity file was used?  If not, provide default switching activity values in comments field.</t>
  </si>
  <si>
    <t>Confirm Power pad locations correctly defined.
Note: voltage sources need to be defined on the input side (VDDG) of power switches to all tool to calculate IR drop through power switch.</t>
  </si>
  <si>
    <t>Confirm QRC layer mapping and qrcTechFiles used are correct.</t>
  </si>
  <si>
    <t>Confirm no ERROR message in the STA log files or the ERROR messages can be waived.</t>
  </si>
  <si>
    <t xml:space="preserve">Confirm timing/skew/drv/mpw/noise/ect results and log files are checked based on all signoff modes and all signoff corners. </t>
  </si>
  <si>
    <t>Any special timing requirement from the specifications that cannot be covered by SDC constraints are reported and reviewed? For example: DDR DQ/DQS skew check</t>
  </si>
  <si>
    <t>Confirm latest DRC rule deck(s) was used? List DRC rule deck name in Comments. 
eg: PLN3ELO_17M_1Xa1Xb1Xc1Xd1Ya1Yb4Y2Yy2Yx2R_014.11_2a.encrypt
      PLN3ELO_17M_1Xa1Xb1Xc1Xd1Ya1Yb4Y2Yy2Yx2R_054_PATCH.11_2a.encrypt</t>
  </si>
  <si>
    <t>Confirm DRC rule deck was not modified?  If it was, explain in comments field.</t>
  </si>
  <si>
    <t>Confirm latest Antenna rule deck(s) was used? List DRC rule deck name in Comments. 
eg: PLN3ELO_17M_1Xa1Xb1Xc1Xd1Ya1Yb4Y2Yy2Yx2R_014_ANT.11_2a.encrypt
      PLN3ELO_17M_1Xa1Xb1Xc1Xd1Ya1Yb4Y2Yy2Yx2R_014_SHDMIM_ANT.11_2a.encrypt</t>
  </si>
  <si>
    <t>Confirm ANT rule deck was not modified?  If it was, explain in comments field.</t>
  </si>
  <si>
    <t>Confirm latest LVS rule deck(s) was used? List LVS rule deck name in Comments. 
eg: DFM_LVS_RC_PEGASUS_N3P_1p17M_1Xa1Xb1Xc1Xd1Ya1Yb4Y2Yy2Yx2R_ALRDL.1.0a</t>
  </si>
  <si>
    <t>Confirm LVS rule deck was not modified?  If it was, explain in comments field.</t>
  </si>
  <si>
    <t>Confirm latest BUMP rule deck(s) was used? List BUMP rule deck name in Comments. 
eg: PN3_CU_ROUND_BUMP_ON_PAD_17M_1Xa1Xb1Xc1Xd1Ya1Yb4Y2Yy2Yx2R_003.10a</t>
  </si>
  <si>
    <t>Confirm BUMP rule deck was not modified?  If it was, explain in comments field.</t>
  </si>
  <si>
    <t>IMP-2-0-0-13</t>
  </si>
  <si>
    <t>IMP-2-0-0-14</t>
  </si>
  <si>
    <t>IMP-2-0-0-15</t>
  </si>
  <si>
    <t>Confirm the GDS was generated properly and physical verification has been run on final block GDS.</t>
  </si>
  <si>
    <t>Confirm Analog power/gnd labels are correct.</t>
  </si>
  <si>
    <t>Confirm no unknown black boxes are reported.</t>
  </si>
  <si>
    <t>Confirm mock tapeout GDS includes dummy METAL/OD/PO/COD.</t>
  </si>
  <si>
    <t xml:space="preserve"> 9.0 - RC EXTRACTION CHECK (GENERAL FOR ALL IPS)</t>
  </si>
  <si>
    <t xml:space="preserve"> 10.0 - STA/DCD CHECK (GENERAL FOR ALL IPS)</t>
  </si>
  <si>
    <t>IMP-10-0-0-09</t>
  </si>
  <si>
    <t>IMP-10-0-0-10</t>
  </si>
  <si>
    <t>IMP-10-0-0-11</t>
  </si>
  <si>
    <t>IMP-10-0-0-12</t>
  </si>
  <si>
    <t>IMP-10-0-0-13</t>
  </si>
  <si>
    <t>IMP-10-0-0-14</t>
  </si>
  <si>
    <t>IMP-10-0-0-15</t>
  </si>
  <si>
    <t>IMP-10-0-0-16</t>
  </si>
  <si>
    <t xml:space="preserve"> 11.0 - POWER EMIR CHECK  (GENERAL FOR ALL IPS)</t>
  </si>
  <si>
    <t>IMP-11-0-0-10</t>
  </si>
  <si>
    <t>IMP-11-0-0-11</t>
  </si>
  <si>
    <t>IMP-11-0-0-12</t>
  </si>
  <si>
    <t>IMP-11-0-0-13</t>
  </si>
  <si>
    <t>IMP-11-0-0-14</t>
  </si>
  <si>
    <t>IMP-11-0-0-15</t>
  </si>
  <si>
    <t>IMP-11-0-0-16</t>
  </si>
  <si>
    <t>IMP-11-0-0-17</t>
  </si>
  <si>
    <t>IMP-11-0-0-18</t>
  </si>
  <si>
    <t>IMP-11-0-0-19</t>
  </si>
  <si>
    <t>IMP-11-0-0-20</t>
  </si>
  <si>
    <t>IMP-11-0-0-21</t>
  </si>
  <si>
    <t>IMP-11-0-0-22</t>
  </si>
  <si>
    <t>IMP-11-0-0-23</t>
  </si>
  <si>
    <t>IMP-11-0-0-24</t>
  </si>
  <si>
    <t>IMP-11-0-0-25</t>
  </si>
  <si>
    <t xml:space="preserve"> 12.0 - PHYSICAL VERIFICATION CHECK  (GENERAL FOR ALL IPS)</t>
  </si>
  <si>
    <t>IMP-12-0-0-06</t>
  </si>
  <si>
    <t>IMP-12-0-0-07</t>
  </si>
  <si>
    <t>IMP-12-0-0-08</t>
  </si>
  <si>
    <t>IMP-12-0-0-09</t>
  </si>
  <si>
    <t>IMP-12-0-0-10</t>
  </si>
  <si>
    <t>IMP-12-0-0-11</t>
  </si>
  <si>
    <t>IMP-12-0-0-12</t>
  </si>
  <si>
    <t>IMP-12-0-0-13</t>
  </si>
  <si>
    <t>IMP-12-0-0-14</t>
  </si>
  <si>
    <t>IMP-12-0-0-15</t>
  </si>
  <si>
    <t>IMP-12-0-0-16</t>
  </si>
  <si>
    <t>IMP-12-0-0-17</t>
  </si>
  <si>
    <t>IMP-12-0-0-18</t>
  </si>
  <si>
    <t>IMP-12-0-0-19</t>
  </si>
  <si>
    <t>IMP-12-0-0-20</t>
  </si>
  <si>
    <t>IMP-12-0-0-21</t>
  </si>
  <si>
    <t>IMP-12-0-0-22</t>
  </si>
  <si>
    <t>IMP-12-0-0-23</t>
  </si>
  <si>
    <t>IMP-12-0-0-24</t>
  </si>
  <si>
    <t>IMP-12-0-0-25</t>
  </si>
  <si>
    <t>IMP-12-0-0-26</t>
  </si>
  <si>
    <t>IMP-12-0-0-27</t>
  </si>
  <si>
    <t>IMP-12-0-0-28</t>
  </si>
  <si>
    <t>IMP-12-0-0-29</t>
  </si>
  <si>
    <t>IMP-12-0-0-30</t>
  </si>
  <si>
    <t xml:space="preserve"> 13.0 - POST PD EQUIVALENCE CHECK  (SYNTH-POST PD NETLIST, GENERAL FOR ALL IPS)</t>
  </si>
  <si>
    <t xml:space="preserve"> 14.0 - CLP CHECK  (GENERAL FOR ALL IPS)</t>
  </si>
  <si>
    <t>IMP-14-0-0-00</t>
  </si>
  <si>
    <t>IMP-14-0-0-01</t>
  </si>
  <si>
    <t>IMP-14-0-0-02</t>
  </si>
  <si>
    <t>IMP-14-0-0-03</t>
  </si>
  <si>
    <t>IMP-14-0-0-04</t>
  </si>
  <si>
    <t>IMP-14-0-0-05</t>
  </si>
  <si>
    <t>IMP-14-0-0-06</t>
  </si>
  <si>
    <t xml:space="preserve"> 15.0 - ESD PERC CHECK  (GENERAL FOR ALL IPS)</t>
  </si>
  <si>
    <t>IMP-15-0-0-00</t>
  </si>
  <si>
    <t>IMP-15-0-0-01</t>
  </si>
  <si>
    <t>IMP-15-0-0-02</t>
  </si>
  <si>
    <t>IMP-15-0-0-03</t>
  </si>
  <si>
    <t>IMP-15-0-0-04</t>
  </si>
  <si>
    <t>IMP-15-0-0-05</t>
  </si>
  <si>
    <t xml:space="preserve"> 16.0 - IPTAG CHECK  (GENERAL FOR ALL IPS)</t>
  </si>
  <si>
    <t>IMP-16-0-0-00</t>
  </si>
  <si>
    <t>IMP-16-0-0-01</t>
  </si>
  <si>
    <t>IMP-16-0-0-02</t>
  </si>
  <si>
    <t>IMP-16-0-0-03</t>
  </si>
  <si>
    <t>IMP-16-0-0-04</t>
  </si>
  <si>
    <t>IMP-16-0-0-05</t>
  </si>
  <si>
    <t>IMP-16-0-0-06</t>
  </si>
  <si>
    <t>IMP-16-0-0-07</t>
  </si>
  <si>
    <t xml:space="preserve"> 17.0 - FINAL DATA  (GENERAL FOR ALL IPS)</t>
  </si>
  <si>
    <t>Confirm data has been copied to final release area? Provide a directory location in the comments field.</t>
  </si>
  <si>
    <t>Is the ‘latest’ updated to point to the final release area?</t>
  </si>
  <si>
    <t>Have all irrelevant release areas been deleted?</t>
  </si>
  <si>
    <t>If IP under DR3 review implements a register containing the revision/version of the IP, please confirm that this register contains the correct revision/version of the IP w.r.t this DR3 Review?</t>
  </si>
  <si>
    <t>Does the area contain all relevant and required information? Netlist/gds/db/lef/libs/spef etc</t>
  </si>
  <si>
    <t>Have checks been run on release data (checkIt etc)?</t>
  </si>
  <si>
    <t>Conditions used to verify max clock frequency (e.g. wireload model, etc.). SPEF + 5% of clock period as setup uncertainty</t>
  </si>
  <si>
    <t>Setup uncertainty, OCV Parameters. Static IR 15mV based deltaV + 10C deltaT</t>
  </si>
  <si>
    <t>Hold uncertainty, OCV parameters Static IR 15mV based deltaV + 10C deltaT</t>
  </si>
  <si>
    <t>HBM</t>
  </si>
  <si>
    <r>
      <t xml:space="preserve"> 10.2 - STA/DCD CHECK (</t>
    </r>
    <r>
      <rPr>
        <b/>
        <sz val="10"/>
        <color rgb="FFFF0000"/>
        <rFont val="Calibri"/>
        <family val="2"/>
        <scheme val="minor"/>
      </rPr>
      <t>ONLY FOR HBM</t>
    </r>
    <r>
      <rPr>
        <b/>
        <sz val="10"/>
        <color theme="1"/>
        <rFont val="Calibri"/>
        <family val="2"/>
        <scheme val="minor"/>
      </rPr>
      <t>)</t>
    </r>
  </si>
  <si>
    <t>Confirm check_timing report has no issue.</t>
  </si>
  <si>
    <t>Confirm check_design report has no issue.</t>
  </si>
  <si>
    <t>Confirm the double_clock check result is clean.</t>
  </si>
  <si>
    <t>IMP-10-0-0-17</t>
  </si>
  <si>
    <t>IMP-10-0-0-18</t>
  </si>
  <si>
    <t>IMP-10-0-0-19</t>
  </si>
  <si>
    <t>Confirm clock signal full swing result is clean if foundry timing signoff criteria has full swing requirement.</t>
  </si>
  <si>
    <t>IMP-10-0-0-20</t>
  </si>
  <si>
    <t>Confirm final timing review was held and all open items closed (capture the review and waiver in JIRA ticket).</t>
  </si>
  <si>
    <t>Were appropriate lifetime deratings  defined for use in STA/HSTA analysis? (frequency or uncertainty deratings) describe in Comments section</t>
  </si>
  <si>
    <t>Confirm Unresolved References are none?</t>
  </si>
  <si>
    <t>Confirm Empty Modules  are none or explained?</t>
  </si>
  <si>
    <t>Confirm SDC Read Failures  clean?</t>
  </si>
  <si>
    <t>Confirm Multidriven Report  clean?</t>
  </si>
  <si>
    <t>Confirm Latches Inferred  documented?</t>
  </si>
  <si>
    <t>Confirm Jasper RTL Lint Summary report has no Error?</t>
  </si>
  <si>
    <t>IMP-5-0-0-15</t>
  </si>
  <si>
    <t>IMP-5-0-0-16</t>
  </si>
  <si>
    <t>IMP-5-0-0-17</t>
  </si>
  <si>
    <t>IMP-5-0-0-18</t>
  </si>
  <si>
    <t>IMP-5-0-0-19</t>
  </si>
  <si>
    <t>IMP-12-0-0-31</t>
  </si>
  <si>
    <t xml:space="preserve">Confirm Package to Chip comparison passes (bump excel vs bump location in gds/oas)? </t>
  </si>
  <si>
    <t>Has the complete set of rule decks, LVS/DRC settings, and other setup requirements used to generate and signoff the final delivery been archived in case the runs must be replicated in the future?</t>
  </si>
  <si>
    <t>Recommend performing a flush of the delivery flow with the customer to ensure all necessary files are delivered and the required database formats used.  Has this been done?</t>
  </si>
  <si>
    <t>IMP-17-0-0-00</t>
  </si>
  <si>
    <t>IMP-17-0-0-01</t>
  </si>
  <si>
    <t>IMP-17-0-0-02</t>
  </si>
  <si>
    <t>IMP-17-0-0-03</t>
  </si>
  <si>
    <t>IMP-17-0-0-04</t>
  </si>
  <si>
    <t>Was the final typical and worst case power computed using a simulation based VCD dump and provided to the design teams?</t>
  </si>
  <si>
    <r>
      <t xml:space="preserve"> 11.2 - POWER EMIR CHECK (</t>
    </r>
    <r>
      <rPr>
        <b/>
        <sz val="10"/>
        <color rgb="FFFF0000"/>
        <rFont val="Calibri"/>
        <family val="2"/>
        <scheme val="minor"/>
      </rPr>
      <t>ONLY FOR HBM</t>
    </r>
    <r>
      <rPr>
        <b/>
        <sz val="10"/>
        <color theme="1"/>
        <rFont val="Calibri"/>
        <family val="2"/>
        <scheme val="minor"/>
      </rPr>
      <t>)</t>
    </r>
  </si>
  <si>
    <t>List any forbidden cells (special request from foundry or customers).</t>
  </si>
  <si>
    <t>Confirm the DCD check is clean if the design request DCD check on some special circuits.</t>
  </si>
  <si>
    <t>Confirm the cdl file has prefix,explain the reason in comments if it's not followed.</t>
  </si>
  <si>
    <t>DATA-8-0-0-03</t>
  </si>
  <si>
    <r>
      <t xml:space="preserve"> 7.1 - GDS CHECK  (</t>
    </r>
    <r>
      <rPr>
        <b/>
        <sz val="10"/>
        <color rgb="FFFF0000"/>
        <rFont val="Calibri"/>
        <family val="2"/>
        <scheme val="minor"/>
      </rPr>
      <t>ONLY FOR MIG</t>
    </r>
    <r>
      <rPr>
        <b/>
        <sz val="10"/>
        <color theme="1"/>
        <rFont val="Calibri"/>
        <family val="2"/>
        <scheme val="minor"/>
      </rPr>
      <t xml:space="preserve"> HSPHY/HPPHY/DFPHY/GDDRPHY)</t>
    </r>
  </si>
  <si>
    <t xml:space="preserve">Confirm that prBoundary (or technology equivalent layer) is present at top level of macro or delivered block(s). </t>
  </si>
  <si>
    <t>DATA-7-0-0-07</t>
  </si>
  <si>
    <t>Confirm ARC check result is clean. (For BRCM project only, for others fill N/A)</t>
  </si>
  <si>
    <t>Confirm all Warning message in ARC log files can be waived. (For BRCM project only, for others fill N/A)</t>
  </si>
  <si>
    <t>IMP-12-0-0-32</t>
  </si>
  <si>
    <t>IMP-12-0-0-33</t>
  </si>
  <si>
    <r>
      <t xml:space="preserve"> 7.2 - GDS CHECK  (</t>
    </r>
    <r>
      <rPr>
        <b/>
        <sz val="10"/>
        <color rgb="FFFF0000"/>
        <rFont val="Calibri"/>
        <family val="2"/>
        <scheme val="minor"/>
      </rPr>
      <t>ONLY FOR HSS</t>
    </r>
    <r>
      <rPr>
        <b/>
        <sz val="10"/>
        <color theme="1"/>
        <rFont val="Calibri"/>
        <family val="2"/>
        <scheme val="minor"/>
      </rPr>
      <t>)</t>
    </r>
  </si>
  <si>
    <t>All PIPO.log warnings have been reviewed and waived if acceptable.</t>
  </si>
  <si>
    <t>Date/time of stream-out in PIPO.log file in dataPrep directory agrees with UNIX date/time stamp of gds file in delivery directory.</t>
  </si>
  <si>
    <t>Verify that prBoundary (or technology equivalent layer) is present at top level of macro or delivered block(s).  This can be verified in the Virtuoso database.</t>
  </si>
  <si>
    <t>HSS</t>
  </si>
  <si>
    <t>Copies of cmd.file.drc* verified to exist in delivery directory to capture runset option settings</t>
  </si>
  <si>
    <t>DRC log files (summary.txt, *.db, *.sum) verified to exist in the delivery directory.   Run date/time of each file agrees with most recent verification run.</t>
  </si>
  <si>
    <r>
      <t>Verify top level power &amp; ground names are present in the</t>
    </r>
    <r>
      <rPr>
        <b/>
        <sz val="10"/>
        <color theme="1"/>
        <rFont val="Calibri"/>
        <family val="2"/>
        <scheme val="minor"/>
      </rPr>
      <t xml:space="preserve"> drc_vars </t>
    </r>
    <r>
      <rPr>
        <sz val="11"/>
        <color theme="1"/>
        <rFont val="Calibri"/>
        <family val="2"/>
        <scheme val="minor"/>
      </rPr>
      <t>file.</t>
    </r>
  </si>
  <si>
    <t>Copies of cmd.file.lvs* verified to exist in delivery directory to capture run set option settings</t>
  </si>
  <si>
    <t>LVS log files (summary.txt, *.cls, erc.sum) verified to exist in the delivery directory.   Run date/time of each file agrees with most recent verification run.</t>
  </si>
  <si>
    <r>
      <t xml:space="preserve">Verify top level power &amp; ground names are present in the </t>
    </r>
    <r>
      <rPr>
        <b/>
        <sz val="10"/>
        <color theme="1"/>
        <rFont val="Calibri"/>
        <family val="2"/>
        <scheme val="minor"/>
      </rPr>
      <t xml:space="preserve">lvs_vars </t>
    </r>
    <r>
      <rPr>
        <sz val="11"/>
        <color theme="1"/>
        <rFont val="Calibri"/>
        <family val="2"/>
        <scheme val="minor"/>
      </rPr>
      <t>file.</t>
    </r>
  </si>
  <si>
    <t>Copy of cmd.file.ant verified to exist in delivery directory to capture runset option settings</t>
  </si>
  <si>
    <t>Antenna log files (summary.txt, DRC.rep, drc.db) verified to exist in the delivery directory.   Run date/time of each file agrees with most recent verification run.</t>
  </si>
  <si>
    <t>Release Notes file placed in "doc" directory and updated with latest release information (waivers, ERC violations, etc.).</t>
  </si>
  <si>
    <t>Delivered design hierarchy is tagged in SOS (if library is under ClioSoft control).</t>
  </si>
  <si>
    <t xml:space="preserve"> 11.2 - RELEASE_NOTES CHECK  (ONLY FOR HSS)</t>
  </si>
  <si>
    <t>HSS-DATA-11-2-0-00</t>
  </si>
  <si>
    <t>HSS-DATA-11-2-0-01</t>
  </si>
  <si>
    <r>
      <t xml:space="preserve"> 1.1 - LEF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</si>
  <si>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DATA-1-1-0-00</t>
    </r>
  </si>
  <si>
    <t>Confirm all lib files have pg_pin definition with complete information (voltage_name/pg_type/direction) and signal pins in the lib files have related_power_pin/related_ground_pin information. (post-process based on libs generated by tempus or upf based lib generation)</t>
  </si>
  <si>
    <r>
      <t xml:space="preserve"> 2.1 - LIB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</si>
  <si>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-DATA-2-1-0-00</t>
    </r>
  </si>
  <si>
    <r>
      <rPr>
        <sz val="10"/>
        <color rgb="FFFF0000"/>
        <rFont val="Calibri"/>
        <family val="2"/>
        <scheme val="minor"/>
      </rPr>
      <t>MIG</t>
    </r>
    <r>
      <rPr>
        <sz val="10"/>
        <color theme="1"/>
        <rFont val="Calibri"/>
        <family val="2"/>
        <scheme val="minor"/>
      </rPr>
      <t>-DATA-2-1-0-01</t>
    </r>
  </si>
  <si>
    <r>
      <t xml:space="preserve"> 3.1 - NETLIST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</si>
  <si>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-DATA-3-1-0-00</t>
    </r>
  </si>
  <si>
    <r>
      <t xml:space="preserve"> 4.1 - CTSMDL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</si>
  <si>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-DATA-4-1-0-01</t>
    </r>
  </si>
  <si>
    <t>Confirm the spef files (full rc corners based on addendum) are included in the delivery package. Fill N/A if no spef delivery</t>
  </si>
  <si>
    <t>Confirm all block spef files are included in the package. Fill N/A if no spef delivery</t>
  </si>
  <si>
    <r>
      <t xml:space="preserve"> 6.1 - SPEF CHECK (</t>
    </r>
    <r>
      <rPr>
        <b/>
        <sz val="10"/>
        <color rgb="FFFF0000"/>
        <rFont val="Calibri"/>
        <family val="2"/>
        <scheme val="minor"/>
      </rPr>
      <t>ONLY FOR MIG</t>
    </r>
    <r>
      <rPr>
        <b/>
        <sz val="10"/>
        <color theme="1"/>
        <rFont val="Calibri"/>
        <family val="2"/>
        <scheme val="minor"/>
      </rPr>
      <t xml:space="preserve"> HSPHY/HPPHY/DFPHY/GDDRPHY)</t>
    </r>
  </si>
  <si>
    <t>Confirm the SPEF files follow the naming convention {design_name}_{rc_corner}_{temperature}.spef.gz? Fill N/A if no spef delivery</t>
  </si>
  <si>
    <t>Confirm the CTS macromodel file is included in the delivery package. Fill N/A if no ctsmdl delivery.</t>
  </si>
  <si>
    <t>Confirm the macromodel file follow the naming convention {design_name}.ctsmdl? Fill N/A if no ctsmdl delivery.</t>
  </si>
  <si>
    <r>
      <t xml:space="preserve"> 5.1 - SDF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</si>
  <si>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DATA-5-1-0-00</t>
    </r>
  </si>
  <si>
    <r>
      <rPr>
        <sz val="10"/>
        <color rgb="FFFF0000"/>
        <rFont val="Calibri"/>
        <family val="2"/>
        <scheme val="minor"/>
      </rPr>
      <t>MIG-</t>
    </r>
    <r>
      <rPr>
        <sz val="10"/>
        <color theme="1"/>
        <rFont val="Calibri"/>
        <family val="2"/>
        <scheme val="minor"/>
      </rPr>
      <t>DATA-5-1-0-01</t>
    </r>
  </si>
  <si>
    <r>
      <rPr>
        <sz val="10"/>
        <color rgb="FFFF0000"/>
        <rFont val="Calibri"/>
        <family val="2"/>
        <scheme val="minor"/>
      </rPr>
      <t>MIG</t>
    </r>
    <r>
      <rPr>
        <sz val="10"/>
        <color theme="1"/>
        <rFont val="Calibri"/>
        <family val="2"/>
        <scheme val="minor"/>
      </rPr>
      <t>-DATA-7-1-0-00</t>
    </r>
  </si>
  <si>
    <r>
      <rPr>
        <sz val="10"/>
        <color rgb="FFFF0000"/>
        <rFont val="Calibri"/>
        <family val="2"/>
        <scheme val="minor"/>
      </rPr>
      <t>MIG</t>
    </r>
    <r>
      <rPr>
        <sz val="10"/>
        <color theme="1"/>
        <rFont val="Calibri"/>
        <family val="2"/>
        <scheme val="minor"/>
      </rPr>
      <t>-DATA-7-1-0-01</t>
    </r>
  </si>
  <si>
    <r>
      <rPr>
        <sz val="10"/>
        <color rgb="FFFF0000"/>
        <rFont val="Calibri"/>
        <family val="2"/>
        <scheme val="minor"/>
      </rPr>
      <t>HSS</t>
    </r>
    <r>
      <rPr>
        <sz val="10"/>
        <color theme="1"/>
        <rFont val="Calibri"/>
        <family val="2"/>
        <scheme val="minor"/>
      </rPr>
      <t>-DATA-7-2-0-00</t>
    </r>
  </si>
  <si>
    <r>
      <rPr>
        <sz val="10"/>
        <color rgb="FFFF0000"/>
        <rFont val="Calibri"/>
        <family val="2"/>
        <scheme val="minor"/>
      </rPr>
      <t>HSS</t>
    </r>
    <r>
      <rPr>
        <sz val="10"/>
        <color theme="1"/>
        <rFont val="Calibri"/>
        <family val="2"/>
        <scheme val="minor"/>
      </rPr>
      <t>-DATA-7-2-0-01</t>
    </r>
  </si>
  <si>
    <r>
      <rPr>
        <sz val="10"/>
        <color rgb="FFFF0000"/>
        <rFont val="Calibri"/>
        <family val="2"/>
        <scheme val="minor"/>
      </rPr>
      <t>HSS</t>
    </r>
    <r>
      <rPr>
        <sz val="10"/>
        <color theme="1"/>
        <rFont val="Calibri"/>
        <family val="2"/>
        <scheme val="minor"/>
      </rPr>
      <t>-DATA-7-2-0-02</t>
    </r>
  </si>
  <si>
    <t>Confirm the upf file and clp report are included in delivery package.  Fill N/A if no upf delivery.</t>
  </si>
  <si>
    <t>Confirm the upf file follows the naming convention {design_name}.upf? Fill N/A if no upf delivery.</t>
  </si>
  <si>
    <t>Confirm the clp result file follows the naming convention {design_name}.clp.rpt? Fill N/A if no upf delivery.</t>
  </si>
  <si>
    <t>Confirm follow standard COE release structure.</t>
  </si>
  <si>
    <r>
      <rPr>
        <sz val="10"/>
        <color rgb="FFFF0000"/>
        <rFont val="Calibri"/>
        <family val="2"/>
        <scheme val="minor"/>
      </rPr>
      <t>HSS</t>
    </r>
    <r>
      <rPr>
        <sz val="10"/>
        <color theme="1"/>
        <rFont val="Calibri"/>
        <family val="2"/>
        <scheme val="minor"/>
      </rPr>
      <t>-DATA-10-1-0-00</t>
    </r>
  </si>
  <si>
    <r>
      <t xml:space="preserve"> 10.1 - PV CHECK  (</t>
    </r>
    <r>
      <rPr>
        <b/>
        <sz val="10"/>
        <color rgb="FFFF0000"/>
        <rFont val="Calibri"/>
        <family val="2"/>
        <scheme val="minor"/>
      </rPr>
      <t>ONLY FOR HSS</t>
    </r>
    <r>
      <rPr>
        <b/>
        <sz val="10"/>
        <color theme="1"/>
        <rFont val="Calibri"/>
        <family val="2"/>
        <scheme val="minor"/>
      </rPr>
      <t>)</t>
    </r>
  </si>
  <si>
    <r>
      <rPr>
        <sz val="10"/>
        <color rgb="FFFF0000"/>
        <rFont val="Calibri"/>
        <family val="2"/>
        <scheme val="minor"/>
      </rPr>
      <t>HSS</t>
    </r>
    <r>
      <rPr>
        <sz val="10"/>
        <color theme="1"/>
        <rFont val="Calibri"/>
        <family val="2"/>
        <scheme val="minor"/>
      </rPr>
      <t>-DATA-10-1-0-01</t>
    </r>
    <r>
      <rPr>
        <sz val="11"/>
        <color theme="1"/>
        <rFont val="Calibri"/>
        <family val="2"/>
        <scheme val="minor"/>
      </rPr>
      <t/>
    </r>
  </si>
  <si>
    <r>
      <rPr>
        <sz val="10"/>
        <color rgb="FFFF0000"/>
        <rFont val="Calibri"/>
        <family val="2"/>
        <scheme val="minor"/>
      </rPr>
      <t>HSS</t>
    </r>
    <r>
      <rPr>
        <sz val="10"/>
        <color theme="1"/>
        <rFont val="Calibri"/>
        <family val="2"/>
        <scheme val="minor"/>
      </rPr>
      <t>-DATA-10-1-0-02</t>
    </r>
    <r>
      <rPr>
        <sz val="11"/>
        <color theme="1"/>
        <rFont val="Calibri"/>
        <family val="2"/>
        <scheme val="minor"/>
      </rPr>
      <t/>
    </r>
  </si>
  <si>
    <r>
      <rPr>
        <sz val="10"/>
        <color rgb="FFFF0000"/>
        <rFont val="Calibri"/>
        <family val="2"/>
        <scheme val="minor"/>
      </rPr>
      <t>HSS</t>
    </r>
    <r>
      <rPr>
        <sz val="10"/>
        <color theme="1"/>
        <rFont val="Calibri"/>
        <family val="2"/>
        <scheme val="minor"/>
      </rPr>
      <t>-DATA-10-1-0-03</t>
    </r>
    <r>
      <rPr>
        <sz val="11"/>
        <color theme="1"/>
        <rFont val="Calibri"/>
        <family val="2"/>
        <scheme val="minor"/>
      </rPr>
      <t/>
    </r>
  </si>
  <si>
    <r>
      <rPr>
        <sz val="10"/>
        <color rgb="FFFF0000"/>
        <rFont val="Calibri"/>
        <family val="2"/>
        <scheme val="minor"/>
      </rPr>
      <t>HSS</t>
    </r>
    <r>
      <rPr>
        <sz val="10"/>
        <color theme="1"/>
        <rFont val="Calibri"/>
        <family val="2"/>
        <scheme val="minor"/>
      </rPr>
      <t>-DATA-10-1-0-04</t>
    </r>
    <r>
      <rPr>
        <sz val="11"/>
        <color theme="1"/>
        <rFont val="Calibri"/>
        <family val="2"/>
        <scheme val="minor"/>
      </rPr>
      <t/>
    </r>
  </si>
  <si>
    <r>
      <rPr>
        <sz val="10"/>
        <color rgb="FFFF0000"/>
        <rFont val="Calibri"/>
        <family val="2"/>
        <scheme val="minor"/>
      </rPr>
      <t>HSS</t>
    </r>
    <r>
      <rPr>
        <sz val="10"/>
        <color theme="1"/>
        <rFont val="Calibri"/>
        <family val="2"/>
        <scheme val="minor"/>
      </rPr>
      <t>-DATA-10-1-0-05</t>
    </r>
    <r>
      <rPr>
        <sz val="11"/>
        <color theme="1"/>
        <rFont val="Calibri"/>
        <family val="2"/>
        <scheme val="minor"/>
      </rPr>
      <t/>
    </r>
  </si>
  <si>
    <r>
      <rPr>
        <sz val="10"/>
        <color rgb="FFFF0000"/>
        <rFont val="Calibri"/>
        <family val="2"/>
        <scheme val="minor"/>
      </rPr>
      <t>HSS</t>
    </r>
    <r>
      <rPr>
        <sz val="10"/>
        <color theme="1"/>
        <rFont val="Calibri"/>
        <family val="2"/>
        <scheme val="minor"/>
      </rPr>
      <t>-DATA-10-1-0-06</t>
    </r>
    <r>
      <rPr>
        <sz val="11"/>
        <color theme="1"/>
        <rFont val="Calibri"/>
        <family val="2"/>
        <scheme val="minor"/>
      </rPr>
      <t/>
    </r>
  </si>
  <si>
    <r>
      <rPr>
        <sz val="10"/>
        <color rgb="FFFF0000"/>
        <rFont val="Calibri"/>
        <family val="2"/>
        <scheme val="minor"/>
      </rPr>
      <t>HSS</t>
    </r>
    <r>
      <rPr>
        <sz val="10"/>
        <color theme="1"/>
        <rFont val="Calibri"/>
        <family val="2"/>
        <scheme val="minor"/>
      </rPr>
      <t>-DATA-10-1-0-07</t>
    </r>
    <r>
      <rPr>
        <sz val="11"/>
        <color theme="1"/>
        <rFont val="Calibri"/>
        <family val="2"/>
        <scheme val="minor"/>
      </rPr>
      <t/>
    </r>
  </si>
  <si>
    <r>
      <rPr>
        <sz val="10"/>
        <color rgb="FFFF0000"/>
        <rFont val="Calibri"/>
        <family val="2"/>
        <scheme val="minor"/>
      </rPr>
      <t>HSS</t>
    </r>
    <r>
      <rPr>
        <sz val="10"/>
        <color theme="1"/>
        <rFont val="Calibri"/>
        <family val="2"/>
        <scheme val="minor"/>
      </rPr>
      <t>-DATA-10-1-0-08</t>
    </r>
    <r>
      <rPr>
        <sz val="11"/>
        <color theme="1"/>
        <rFont val="Calibri"/>
        <family val="2"/>
        <scheme val="minor"/>
      </rPr>
      <t/>
    </r>
  </si>
  <si>
    <r>
      <rPr>
        <sz val="10"/>
        <color rgb="FFFF0000"/>
        <rFont val="Calibri"/>
        <family val="2"/>
        <scheme val="minor"/>
      </rPr>
      <t>HSS</t>
    </r>
    <r>
      <rPr>
        <sz val="10"/>
        <color theme="1"/>
        <rFont val="Calibri"/>
        <family val="2"/>
        <scheme val="minor"/>
      </rPr>
      <t>-DATA-10-1-0-09</t>
    </r>
    <r>
      <rPr>
        <sz val="11"/>
        <color theme="1"/>
        <rFont val="Calibri"/>
        <family val="2"/>
        <scheme val="minor"/>
      </rPr>
      <t/>
    </r>
  </si>
  <si>
    <t>Confirm the versions of analog cells/macros are correct with AMS/Analog team.</t>
  </si>
  <si>
    <r>
      <t xml:space="preserve"> 8.2 - PHYSICAL IMPLEMENTATION CHECK (</t>
    </r>
    <r>
      <rPr>
        <b/>
        <sz val="10"/>
        <color rgb="FFFF0000"/>
        <rFont val="Calibri"/>
        <family val="2"/>
        <scheme val="minor"/>
      </rPr>
      <t>ONLY FOR HPP</t>
    </r>
    <r>
      <rPr>
        <b/>
        <sz val="10"/>
        <color theme="1"/>
        <rFont val="Calibri"/>
        <family val="2"/>
        <scheme val="minor"/>
      </rPr>
      <t>)</t>
    </r>
  </si>
  <si>
    <r>
      <rPr>
        <sz val="10"/>
        <color rgb="FFFF0000"/>
        <rFont val="Calibri"/>
        <family val="2"/>
        <scheme val="minor"/>
      </rPr>
      <t>HPP</t>
    </r>
    <r>
      <rPr>
        <sz val="10"/>
        <color theme="1"/>
        <rFont val="Calibri"/>
        <family val="2"/>
        <scheme val="minor"/>
      </rPr>
      <t>-IMP-8-2-0-00</t>
    </r>
  </si>
  <si>
    <r>
      <rPr>
        <sz val="10"/>
        <color rgb="FFFF0000"/>
        <rFont val="Calibri"/>
        <family val="2"/>
        <scheme val="minor"/>
      </rPr>
      <t>HPP</t>
    </r>
    <r>
      <rPr>
        <sz val="10"/>
        <color theme="1"/>
        <rFont val="Calibri"/>
        <family val="2"/>
        <scheme val="minor"/>
      </rPr>
      <t>-IMP-8-2-0-01</t>
    </r>
    <r>
      <rPr>
        <sz val="11"/>
        <color theme="1"/>
        <rFont val="Calibri"/>
        <family val="2"/>
        <scheme val="minor"/>
      </rPr>
      <t/>
    </r>
  </si>
  <si>
    <r>
      <rPr>
        <sz val="10"/>
        <color rgb="FFFF0000"/>
        <rFont val="Calibri"/>
        <family val="2"/>
        <scheme val="minor"/>
      </rPr>
      <t>HPP</t>
    </r>
    <r>
      <rPr>
        <sz val="10"/>
        <color theme="1"/>
        <rFont val="Calibri"/>
        <family val="2"/>
        <scheme val="minor"/>
      </rPr>
      <t>-IMP-8-2-0-02</t>
    </r>
    <r>
      <rPr>
        <sz val="11"/>
        <color theme="1"/>
        <rFont val="Calibri"/>
        <family val="2"/>
        <scheme val="minor"/>
      </rPr>
      <t/>
    </r>
  </si>
  <si>
    <r>
      <rPr>
        <sz val="10"/>
        <color rgb="FFFF0000"/>
        <rFont val="Calibri"/>
        <family val="2"/>
        <scheme val="minor"/>
      </rPr>
      <t>HPP</t>
    </r>
    <r>
      <rPr>
        <sz val="10"/>
        <color theme="1"/>
        <rFont val="Calibri"/>
        <family val="2"/>
        <scheme val="minor"/>
      </rPr>
      <t>-IMP-8-2-0-03</t>
    </r>
    <r>
      <rPr>
        <sz val="11"/>
        <color theme="1"/>
        <rFont val="Calibri"/>
        <family val="2"/>
        <scheme val="minor"/>
      </rPr>
      <t/>
    </r>
  </si>
  <si>
    <r>
      <rPr>
        <sz val="10"/>
        <color rgb="FFFF0000"/>
        <rFont val="Calibri"/>
        <family val="2"/>
        <scheme val="minor"/>
      </rPr>
      <t>HPP</t>
    </r>
    <r>
      <rPr>
        <sz val="10"/>
        <color theme="1"/>
        <rFont val="Calibri"/>
        <family val="2"/>
        <scheme val="minor"/>
      </rPr>
      <t>-IMP-8-2-0-04</t>
    </r>
    <r>
      <rPr>
        <sz val="11"/>
        <color theme="1"/>
        <rFont val="Calibri"/>
        <family val="2"/>
        <scheme val="minor"/>
      </rPr>
      <t/>
    </r>
  </si>
  <si>
    <t>HPP</t>
  </si>
  <si>
    <r>
      <t xml:space="preserve"> 10.1 - STA/DCD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</si>
  <si>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-IMP-10-1-0-00</t>
    </r>
  </si>
  <si>
    <r>
      <rPr>
        <sz val="10"/>
        <color rgb="FFFF0000"/>
        <rFont val="Calibri"/>
        <family val="2"/>
        <scheme val="minor"/>
      </rPr>
      <t>MIG</t>
    </r>
    <r>
      <rPr>
        <sz val="10"/>
        <color theme="1"/>
        <rFont val="Calibri"/>
        <family val="2"/>
        <scheme val="minor"/>
      </rPr>
      <t>-IMP-10-1-0-01</t>
    </r>
    <r>
      <rPr>
        <sz val="11"/>
        <color theme="1"/>
        <rFont val="Calibri"/>
        <family val="2"/>
        <scheme val="minor"/>
      </rPr>
      <t/>
    </r>
  </si>
  <si>
    <r>
      <rPr>
        <sz val="10"/>
        <color rgb="FFFF0000"/>
        <rFont val="Calibri"/>
        <family val="2"/>
        <scheme val="minor"/>
      </rPr>
      <t>MIG</t>
    </r>
    <r>
      <rPr>
        <sz val="10"/>
        <color theme="1"/>
        <rFont val="Calibri"/>
        <family val="2"/>
        <scheme val="minor"/>
      </rPr>
      <t>-IMP-10-1-0-02</t>
    </r>
    <r>
      <rPr>
        <sz val="11"/>
        <color theme="1"/>
        <rFont val="Calibri"/>
        <family val="2"/>
        <scheme val="minor"/>
      </rPr>
      <t/>
    </r>
  </si>
  <si>
    <r>
      <rPr>
        <sz val="10"/>
        <color rgb="FFFF0000"/>
        <rFont val="Calibri"/>
        <family val="2"/>
        <scheme val="minor"/>
      </rPr>
      <t>MIG</t>
    </r>
    <r>
      <rPr>
        <sz val="10"/>
        <color theme="1"/>
        <rFont val="Calibri"/>
        <family val="2"/>
        <scheme val="minor"/>
      </rPr>
      <t>-IMP-10-1-0-03</t>
    </r>
    <r>
      <rPr>
        <sz val="11"/>
        <color theme="1"/>
        <rFont val="Calibri"/>
        <family val="2"/>
        <scheme val="minor"/>
      </rPr>
      <t/>
    </r>
  </si>
  <si>
    <r>
      <rPr>
        <sz val="10"/>
        <color rgb="FFFF0000"/>
        <rFont val="Calibri"/>
        <family val="2"/>
        <scheme val="minor"/>
      </rPr>
      <t>MIG</t>
    </r>
    <r>
      <rPr>
        <sz val="10"/>
        <color theme="1"/>
        <rFont val="Calibri"/>
        <family val="2"/>
        <scheme val="minor"/>
      </rPr>
      <t>-IMP-10-1-0-04</t>
    </r>
    <r>
      <rPr>
        <sz val="11"/>
        <color theme="1"/>
        <rFont val="Calibri"/>
        <family val="2"/>
        <scheme val="minor"/>
      </rPr>
      <t/>
    </r>
  </si>
  <si>
    <r>
      <rPr>
        <sz val="10"/>
        <color rgb="FFFF0000"/>
        <rFont val="Calibri"/>
        <family val="2"/>
        <scheme val="minor"/>
      </rPr>
      <t>MIG</t>
    </r>
    <r>
      <rPr>
        <sz val="10"/>
        <color theme="1"/>
        <rFont val="Calibri"/>
        <family val="2"/>
        <scheme val="minor"/>
      </rPr>
      <t>-IMP-10-1-1-00</t>
    </r>
  </si>
  <si>
    <r>
      <rPr>
        <sz val="10"/>
        <color rgb="FFFF0000"/>
        <rFont val="Calibri"/>
        <family val="2"/>
        <scheme val="minor"/>
      </rPr>
      <t>MIG</t>
    </r>
    <r>
      <rPr>
        <sz val="10"/>
        <color theme="1"/>
        <rFont val="Calibri"/>
        <family val="2"/>
        <scheme val="minor"/>
      </rPr>
      <t>-IMP-10-1-1-01</t>
    </r>
    <r>
      <rPr>
        <sz val="11"/>
        <color theme="1"/>
        <rFont val="Calibri"/>
        <family val="2"/>
        <scheme val="minor"/>
      </rPr>
      <t/>
    </r>
  </si>
  <si>
    <r>
      <rPr>
        <sz val="10"/>
        <color rgb="FFFF0000"/>
        <rFont val="Calibri"/>
        <family val="2"/>
        <scheme val="minor"/>
      </rPr>
      <t>MIG</t>
    </r>
    <r>
      <rPr>
        <sz val="10"/>
        <color theme="1"/>
        <rFont val="Calibri"/>
        <family val="2"/>
        <scheme val="minor"/>
      </rPr>
      <t>-IMP-10-1-2-00</t>
    </r>
  </si>
  <si>
    <r>
      <rPr>
        <sz val="10"/>
        <color rgb="FFFF0000"/>
        <rFont val="Calibri"/>
        <family val="2"/>
        <scheme val="minor"/>
      </rPr>
      <t>MIG</t>
    </r>
    <r>
      <rPr>
        <sz val="10"/>
        <color theme="1"/>
        <rFont val="Calibri"/>
        <family val="2"/>
        <scheme val="minor"/>
      </rPr>
      <t>-IMP-10-1-2-01</t>
    </r>
    <r>
      <rPr>
        <sz val="11"/>
        <color theme="1"/>
        <rFont val="Calibri"/>
        <family val="2"/>
        <scheme val="minor"/>
      </rPr>
      <t/>
    </r>
  </si>
  <si>
    <r>
      <rPr>
        <sz val="10"/>
        <color rgb="FFFF0000"/>
        <rFont val="Calibri"/>
        <family val="2"/>
        <scheme val="minor"/>
      </rPr>
      <t>MIG</t>
    </r>
    <r>
      <rPr>
        <sz val="10"/>
        <color theme="1"/>
        <rFont val="Calibri"/>
        <family val="2"/>
        <scheme val="minor"/>
      </rPr>
      <t>-IMP-10-1-2-02</t>
    </r>
    <r>
      <rPr>
        <sz val="11"/>
        <color theme="1"/>
        <rFont val="Calibri"/>
        <family val="2"/>
        <scheme val="minor"/>
      </rPr>
      <t/>
    </r>
  </si>
  <si>
    <r>
      <rPr>
        <sz val="10"/>
        <color rgb="FFFF0000"/>
        <rFont val="Calibri"/>
        <family val="2"/>
        <scheme val="minor"/>
      </rPr>
      <t>HBM</t>
    </r>
    <r>
      <rPr>
        <sz val="10"/>
        <color theme="1"/>
        <rFont val="Calibri"/>
        <family val="2"/>
        <scheme val="minor"/>
      </rPr>
      <t>-IMP-10-2-0-00</t>
    </r>
  </si>
  <si>
    <r>
      <rPr>
        <sz val="10"/>
        <color rgb="FFFF0000"/>
        <rFont val="Calibri"/>
        <family val="2"/>
        <scheme val="minor"/>
      </rPr>
      <t>HBM</t>
    </r>
    <r>
      <rPr>
        <sz val="10"/>
        <color theme="1"/>
        <rFont val="Calibri"/>
        <family val="2"/>
        <scheme val="minor"/>
      </rPr>
      <t>-IMP-10-2-0-01</t>
    </r>
    <r>
      <rPr>
        <sz val="11"/>
        <color theme="1"/>
        <rFont val="Calibri"/>
        <family val="2"/>
        <scheme val="minor"/>
      </rPr>
      <t/>
    </r>
  </si>
  <si>
    <r>
      <rPr>
        <sz val="10"/>
        <color rgb="FFFF0000"/>
        <rFont val="Calibri"/>
        <family val="2"/>
        <scheme val="minor"/>
      </rPr>
      <t>HBM</t>
    </r>
    <r>
      <rPr>
        <sz val="10"/>
        <color theme="1"/>
        <rFont val="Calibri"/>
        <family val="2"/>
        <scheme val="minor"/>
      </rPr>
      <t>-IMP-10-2-0-02</t>
    </r>
    <r>
      <rPr>
        <sz val="11"/>
        <color theme="1"/>
        <rFont val="Calibri"/>
        <family val="2"/>
        <scheme val="minor"/>
      </rPr>
      <t/>
    </r>
  </si>
  <si>
    <r>
      <rPr>
        <sz val="10"/>
        <color rgb="FFFF0000"/>
        <rFont val="Calibri"/>
        <family val="2"/>
        <scheme val="minor"/>
      </rPr>
      <t>HBM</t>
    </r>
    <r>
      <rPr>
        <sz val="10"/>
        <color theme="1"/>
        <rFont val="Calibri"/>
        <family val="2"/>
        <scheme val="minor"/>
      </rPr>
      <t>-IMP-10-2-0-03</t>
    </r>
    <r>
      <rPr>
        <sz val="11"/>
        <color theme="1"/>
        <rFont val="Calibri"/>
        <family val="2"/>
        <scheme val="minor"/>
      </rPr>
      <t/>
    </r>
  </si>
  <si>
    <r>
      <t xml:space="preserve"> 11.1 - POWER EMIR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</si>
  <si>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-IMP-11-1-0-00</t>
    </r>
  </si>
  <si>
    <r>
      <rPr>
        <sz val="10"/>
        <color rgb="FFFF0000"/>
        <rFont val="Calibri"/>
        <family val="2"/>
        <scheme val="minor"/>
      </rPr>
      <t>MIG</t>
    </r>
    <r>
      <rPr>
        <sz val="10"/>
        <color theme="1"/>
        <rFont val="Calibri"/>
        <family val="2"/>
        <scheme val="minor"/>
      </rPr>
      <t>-IMP-11-1-0-01</t>
    </r>
    <r>
      <rPr>
        <sz val="11"/>
        <color theme="1"/>
        <rFont val="Calibri"/>
        <family val="2"/>
        <scheme val="minor"/>
      </rPr>
      <t/>
    </r>
  </si>
  <si>
    <r>
      <rPr>
        <sz val="10"/>
        <color rgb="FFFF0000"/>
        <rFont val="Calibri"/>
        <family val="2"/>
        <scheme val="minor"/>
      </rPr>
      <t>MIG</t>
    </r>
    <r>
      <rPr>
        <sz val="10"/>
        <color theme="1"/>
        <rFont val="Calibri"/>
        <family val="2"/>
        <scheme val="minor"/>
      </rPr>
      <t>-IMP-11-1-1-00</t>
    </r>
  </si>
  <si>
    <r>
      <rPr>
        <sz val="10"/>
        <color rgb="FFFF0000"/>
        <rFont val="Calibri"/>
        <family val="2"/>
        <scheme val="minor"/>
      </rPr>
      <t>MIG</t>
    </r>
    <r>
      <rPr>
        <sz val="10"/>
        <color theme="1"/>
        <rFont val="Calibri"/>
        <family val="2"/>
        <scheme val="minor"/>
      </rPr>
      <t>-IMP-11-1-1-01</t>
    </r>
    <r>
      <rPr>
        <sz val="11"/>
        <color theme="1"/>
        <rFont val="Calibri"/>
        <family val="2"/>
        <scheme val="minor"/>
      </rPr>
      <t/>
    </r>
  </si>
  <si>
    <t>HBM-IMP-11-2-0-00</t>
  </si>
  <si>
    <t>Foundry</t>
  </si>
  <si>
    <t>Signal SPEF</t>
  </si>
  <si>
    <t>Critieria</t>
  </si>
  <si>
    <t>Check Item</t>
  </si>
  <si>
    <t>PG Extraction Corner</t>
  </si>
  <si>
    <t>func</t>
  </si>
  <si>
    <t>TSMC</t>
  </si>
  <si>
    <t>Static IR-drop</t>
  </si>
  <si>
    <t xml:space="preserve">rcworst_ccworst_T </t>
  </si>
  <si>
    <t>func_ffgnp_0p825v_125c_cbest_CCbest_T_cworst_Ccworst_hold</t>
  </si>
  <si>
    <t>CCSP or CCSN</t>
  </si>
  <si>
    <t>VDD+VSS &lt;= 3% * Vnom</t>
  </si>
  <si>
    <t>FFGNP125C: ffgnp_0p825v_125c_cbest_CCbest_T</t>
  </si>
  <si>
    <t>cworst_Ccworst@125C</t>
  </si>
  <si>
    <t>CCSP</t>
  </si>
  <si>
    <t>typical@85C</t>
  </si>
  <si>
    <t>func_tt_0p75v_85c_typical_typical_setup</t>
  </si>
  <si>
    <t>typical</t>
  </si>
  <si>
    <t>SEC</t>
  </si>
  <si>
    <t>FFPG125C: ffpg_0p7700v_125c</t>
  </si>
  <si>
    <t>TT125C: tt_0p7000v_125c</t>
  </si>
  <si>
    <t>SigRCmaxDP_Erplus@125C</t>
  </si>
  <si>
    <t>func_tt_0p7000v_125c_SigRCmaxDP_ErPlus_GlobalRvia_setup</t>
  </si>
  <si>
    <t>func_ffpg_0p7700v_125c_SigCmaxDP_ErPlus_GlobalRvia_hold</t>
  </si>
  <si>
    <t>SigCmaxDP_ErPlus</t>
  </si>
  <si>
    <t>INTL18A</t>
  </si>
  <si>
    <t>func_tttt_v0770_105c_tttt_setup</t>
  </si>
  <si>
    <t>typical@105C</t>
  </si>
  <si>
    <t>TT105C: tttt_v0770_105c  (Vnom+10%)</t>
  </si>
  <si>
    <t>CCSPT</t>
  </si>
  <si>
    <t>Mode</t>
  </si>
  <si>
    <t>Standard Cell PVT (ND Example)</t>
  </si>
  <si>
    <t>Analyze View (ND Example)</t>
  </si>
  <si>
    <t>Dynamic IR-drop</t>
  </si>
  <si>
    <r>
      <t>VDD+VSS &lt;=</t>
    </r>
    <r>
      <rPr>
        <b/>
        <sz val="11"/>
        <color rgb="FFFF0000"/>
        <rFont val="Calibri"/>
        <family val="2"/>
        <scheme val="minor"/>
      </rPr>
      <t xml:space="preserve"> 2%</t>
    </r>
    <r>
      <rPr>
        <sz val="11"/>
        <color theme="1"/>
        <rFont val="Calibri"/>
        <family val="2"/>
        <scheme val="minor"/>
      </rPr>
      <t xml:space="preserve"> * Vnom</t>
    </r>
  </si>
  <si>
    <t>VDD+VSS &lt;= 10%~15% * Vnom</t>
  </si>
  <si>
    <r>
      <t xml:space="preserve">VDD+VSS &lt;= </t>
    </r>
    <r>
      <rPr>
        <sz val="11"/>
        <color rgb="FFFF0000"/>
        <rFont val="Calibri"/>
        <family val="2"/>
        <scheme val="minor"/>
      </rPr>
      <t>5%</t>
    </r>
    <r>
      <rPr>
        <sz val="11"/>
        <color theme="1"/>
        <rFont val="Calibri"/>
        <family val="2"/>
        <scheme val="minor"/>
      </rPr>
      <t xml:space="preserve"> * Vnom</t>
    </r>
  </si>
  <si>
    <t>target on 10%, waive based on IP type</t>
  </si>
  <si>
    <t>tighten the spec due to backside PG for INTL18A and Exactly follow IFS doc
powerEM 110CwithLTE@120C</t>
  </si>
  <si>
    <t>tighten the spec due to backside PG for INTL18a and Exactly follow IFS doc
powerEM 110CwithLTE@120C</t>
  </si>
  <si>
    <t>powerEM DRM 105C + 5C (110C) with SHE @110C (will evaluate)</t>
  </si>
  <si>
    <t>powerEM DRM 105C + 5C (110C) with SHE @110C(will evaluate)</t>
  </si>
  <si>
    <t>Signal EM</t>
  </si>
  <si>
    <t>&lt;=1</t>
  </si>
  <si>
    <t>powerEM temperature DRM 105C without SHE</t>
  </si>
  <si>
    <t>powerEM temperature DRM 155C without SHE</t>
  </si>
  <si>
    <t>signalEM: DRM 105C + 5C (110C) with SHE @110C (will evaluate)</t>
  </si>
  <si>
    <t>signalEM: DRM 105C without SHE</t>
  </si>
  <si>
    <t>NA</t>
  </si>
  <si>
    <t>tighten the spec due to backside PG for INTL18a and Exactly follow IFS doc
signalEM 110CwithLTE@120C</t>
  </si>
  <si>
    <t>rcbest_CCbest@m40C(spef)</t>
  </si>
  <si>
    <t>Power Up</t>
  </si>
  <si>
    <t>Rush current &lt;= Static current
Wake-up time : Design spec or customer request</t>
  </si>
  <si>
    <t xml:space="preserve">Diemodel </t>
  </si>
  <si>
    <t>deliver ML corner by default. 
deliver other corner by request.</t>
  </si>
  <si>
    <t>deliver typical corner by default.</t>
  </si>
  <si>
    <t>Delivery other corner by request.</t>
  </si>
  <si>
    <t>Power Net(list all power nets)</t>
  </si>
  <si>
    <t>Analysis View</t>
  </si>
  <si>
    <t>Static Power Summary</t>
  </si>
  <si>
    <t>Analysis View1</t>
  </si>
  <si>
    <t>Analysis View2</t>
  </si>
  <si>
    <t>Static IR-drop Summary</t>
  </si>
  <si>
    <t>Power Net(list all PG nets)</t>
  </si>
  <si>
    <t>Power EM</t>
  </si>
  <si>
    <t>Dynamic IR-drop Summary</t>
  </si>
  <si>
    <t>Peak Current</t>
  </si>
  <si>
    <t>Signal EM Summary</t>
  </si>
  <si>
    <t>Power Up Summary</t>
  </si>
  <si>
    <t>PSO turn-on time</t>
  </si>
  <si>
    <t>Signal EM Analysis</t>
  </si>
  <si>
    <t>Copy of cmd.file verified to exist in delivery directory to capture runset option settings for bump check.</t>
  </si>
  <si>
    <t>DRC log files (summary.txt, DRC.rep, drc.db) verified to exist in the delivery directory.   Run date/time of each file agrees with most recent verification run for bump check.</t>
  </si>
  <si>
    <t>TT85C: tt_0p75v_85c (optional for some IPs)</t>
  </si>
  <si>
    <t>Confirm the preserve cell list of all modes(Func/DFT/etc) are added to don’t touch list if design have.</t>
  </si>
  <si>
    <t>IMP-7-0-0-06</t>
  </si>
  <si>
    <t>IMP-7-0-0-07</t>
  </si>
  <si>
    <t>Confirm UPF/CPF is delivered for Low Power Checks.(Fill N/A if no UPF is needed)</t>
  </si>
  <si>
    <r>
      <t xml:space="preserve"> 7.1 - INNOVUS DESIGN IN CHECK (</t>
    </r>
    <r>
      <rPr>
        <b/>
        <sz val="10"/>
        <color rgb="FFFF0000"/>
        <rFont val="Calibri"/>
        <family val="2"/>
        <scheme val="minor"/>
      </rPr>
      <t>ONLY FOR SRG</t>
    </r>
    <r>
      <rPr>
        <b/>
        <sz val="10"/>
        <color theme="1"/>
        <rFont val="Calibri"/>
        <family val="2"/>
        <scheme val="minor"/>
      </rPr>
      <t>)</t>
    </r>
  </si>
  <si>
    <t>Are the initial checks at block level of Functional and DFT modes are reviewed with respective stakeholders?</t>
  </si>
  <si>
    <t>Are the initial checks at flat level of Functional and DFT modes are reviewed with respective stakeholders?</t>
  </si>
  <si>
    <r>
      <rPr>
        <sz val="10"/>
        <color rgb="FFFF0000"/>
        <rFont val="Calibri"/>
        <family val="2"/>
        <scheme val="minor"/>
      </rPr>
      <t>SRG-</t>
    </r>
    <r>
      <rPr>
        <sz val="10"/>
        <color theme="1"/>
        <rFont val="Calibri"/>
        <family val="2"/>
        <scheme val="minor"/>
      </rPr>
      <t>IMP-7-1-0-00</t>
    </r>
  </si>
  <si>
    <r>
      <rPr>
        <sz val="10"/>
        <color rgb="FFFF0000"/>
        <rFont val="Calibri"/>
        <family val="2"/>
        <scheme val="minor"/>
      </rPr>
      <t>SRG</t>
    </r>
    <r>
      <rPr>
        <sz val="10"/>
        <color theme="1"/>
        <rFont val="Calibri"/>
        <family val="2"/>
        <scheme val="minor"/>
      </rPr>
      <t>-IMP-7-1-0-01</t>
    </r>
  </si>
  <si>
    <t>SRG</t>
  </si>
  <si>
    <r>
      <t xml:space="preserve"> 8.3 - PHYSICAL IMPLEMENTATION CHECK (</t>
    </r>
    <r>
      <rPr>
        <b/>
        <sz val="10"/>
        <color rgb="FFFF0000"/>
        <rFont val="Calibri"/>
        <family val="2"/>
        <scheme val="minor"/>
      </rPr>
      <t>ONLY FOR SRG</t>
    </r>
    <r>
      <rPr>
        <b/>
        <sz val="10"/>
        <color theme="1"/>
        <rFont val="Calibri"/>
        <family val="2"/>
        <scheme val="minor"/>
      </rPr>
      <t>)</t>
    </r>
  </si>
  <si>
    <r>
      <rPr>
        <sz val="10"/>
        <color rgb="FFFF0000"/>
        <rFont val="Calibri"/>
        <family val="2"/>
        <scheme val="minor"/>
      </rPr>
      <t>SRG</t>
    </r>
    <r>
      <rPr>
        <sz val="10"/>
        <color theme="1"/>
        <rFont val="Calibri"/>
        <family val="2"/>
        <scheme val="minor"/>
      </rPr>
      <t>-IMP-8-3-0-00</t>
    </r>
  </si>
  <si>
    <r>
      <rPr>
        <sz val="10"/>
        <color rgb="FFFF0000"/>
        <rFont val="Calibri"/>
        <family val="2"/>
        <scheme val="minor"/>
      </rPr>
      <t>SRG</t>
    </r>
    <r>
      <rPr>
        <sz val="10"/>
        <color theme="1"/>
        <rFont val="Calibri"/>
        <family val="2"/>
        <scheme val="minor"/>
      </rPr>
      <t>-IMP-8-3-0-01</t>
    </r>
    <r>
      <rPr>
        <sz val="11"/>
        <color theme="1"/>
        <rFont val="Calibri"/>
        <family val="2"/>
        <scheme val="minor"/>
      </rPr>
      <t/>
    </r>
  </si>
  <si>
    <t>Are we adding a prefix to the Timing ECOs for tracking purpose?</t>
  </si>
  <si>
    <t>IMP-12-0-0-34</t>
  </si>
  <si>
    <t>Confirm BUMP rule DRC result is clean.</t>
  </si>
  <si>
    <t>Confirm RTO DRC result is clean for post-mask ECO if foundry has RTO DRC check requirement. (fill N/A is no RTO DRC check)</t>
  </si>
  <si>
    <t>Confirm all Warning message in RTO DRC log files can be waived. (for SEC process, for others fill N/A)</t>
  </si>
  <si>
    <t>Are the ECOs being implemented using only Metal ECO cells?</t>
  </si>
  <si>
    <t>Is the base XOR is clean?</t>
  </si>
  <si>
    <t>Are we running RTO DRC (if tsmc and &lt;28nm project)?</t>
  </si>
  <si>
    <t>EMIR view spec (not finalized and we need further discussion in PD staff meeting)</t>
  </si>
  <si>
    <t>IMP-10-0-0-21</t>
  </si>
  <si>
    <t>IMP-10-0-0-22</t>
  </si>
  <si>
    <t>Confirm there is no unresolved reference.</t>
  </si>
  <si>
    <t>Confirm the clock uncertainty setting is correct.</t>
  </si>
  <si>
    <t>IMP-10-0-0-23</t>
  </si>
  <si>
    <t>Confirm set the correct clock transition and data transition.</t>
  </si>
  <si>
    <t>Confirm the units in library match the units in the SDC.</t>
  </si>
  <si>
    <t>IMP-10-0-0-24</t>
  </si>
  <si>
    <t>Confirm the SDC has no ideal clock networks.</t>
  </si>
  <si>
    <t>Confirm all clocks propegated during STA.</t>
  </si>
  <si>
    <t>IMP-10-0-0-25</t>
  </si>
  <si>
    <t>IMP-10-0-0-26</t>
  </si>
  <si>
    <r>
      <t xml:space="preserve"> 10.3 - STA/DCD CHECK (</t>
    </r>
    <r>
      <rPr>
        <b/>
        <sz val="10"/>
        <color rgb="FFFF0000"/>
        <rFont val="Calibri"/>
        <family val="2"/>
        <scheme val="minor"/>
      </rPr>
      <t>ONLY FOR SRG</t>
    </r>
    <r>
      <rPr>
        <b/>
        <sz val="10"/>
        <color theme="1"/>
        <rFont val="Calibri"/>
        <family val="2"/>
        <scheme val="minor"/>
      </rPr>
      <t>)</t>
    </r>
  </si>
  <si>
    <r>
      <rPr>
        <sz val="10"/>
        <color rgb="FFFF0000"/>
        <rFont val="Calibri"/>
        <family val="2"/>
        <scheme val="minor"/>
      </rPr>
      <t>SRG</t>
    </r>
    <r>
      <rPr>
        <sz val="10"/>
        <color theme="1"/>
        <rFont val="Calibri"/>
        <family val="2"/>
        <scheme val="minor"/>
      </rPr>
      <t>-IMP-10-3-0-00</t>
    </r>
  </si>
  <si>
    <r>
      <rPr>
        <sz val="10"/>
        <color rgb="FFFF0000"/>
        <rFont val="Calibri"/>
        <family val="2"/>
        <scheme val="minor"/>
      </rPr>
      <t>SRG</t>
    </r>
    <r>
      <rPr>
        <sz val="10"/>
        <color theme="1"/>
        <rFont val="Calibri"/>
        <family val="2"/>
        <scheme val="minor"/>
      </rPr>
      <t>-IMP-10-3-0-01</t>
    </r>
    <r>
      <rPr>
        <sz val="11"/>
        <color theme="1"/>
        <rFont val="Calibri"/>
        <family val="2"/>
        <scheme val="minor"/>
      </rPr>
      <t/>
    </r>
  </si>
  <si>
    <t>Is the design free of false paths in the same clock domain? If not, then check with SDC/FE owner</t>
  </si>
  <si>
    <t>Confirm the min_period check result is clean if library has min_period check.</t>
  </si>
  <si>
    <t>IMP-10-0-0-27</t>
  </si>
  <si>
    <t>If shielding is required, is it done as per the customer/IP document inputs?</t>
  </si>
  <si>
    <t>Are the clock-crossing reports verified with the customer?</t>
  </si>
  <si>
    <t>There should not be any data cells in the clock path</t>
  </si>
  <si>
    <t>There should not be any clock cells in the data path</t>
  </si>
  <si>
    <t>All the clock definitions should be defined on the clock sources only</t>
  </si>
  <si>
    <t>Confirm EMIR signoff criteria follows addendum or SOW, otherwise follow internal spec (design rule with IP specific margin)</t>
  </si>
  <si>
    <t>List continous operation years in your check.</t>
  </si>
  <si>
    <r>
      <t xml:space="preserve"> 11.3 - POWER EMIR CHECK (</t>
    </r>
    <r>
      <rPr>
        <b/>
        <sz val="10"/>
        <color rgb="FFFF0000"/>
        <rFont val="Calibri"/>
        <family val="2"/>
        <scheme val="minor"/>
      </rPr>
      <t>ONLY FOR SRG</t>
    </r>
    <r>
      <rPr>
        <b/>
        <sz val="10"/>
        <color theme="1"/>
        <rFont val="Calibri"/>
        <family val="2"/>
        <scheme val="minor"/>
      </rPr>
      <t>)</t>
    </r>
  </si>
  <si>
    <t>SRG-IMP-11-3-0-00</t>
  </si>
  <si>
    <t>Confirm input database(netlist/def/lef/spef/lib/pgv/etc) are loaded correctly.</t>
  </si>
  <si>
    <t>Is SDC/TWF coverage more than 95% ?</t>
  </si>
  <si>
    <t>Is SPEF coverage 100% ?If not, mention reason in comments</t>
  </si>
  <si>
    <t>Is QRC tech file with proper corner and metal stack mentioned in comments?</t>
  </si>
  <si>
    <t>Confirm the design has no power open/short and all instances are physically connected.</t>
  </si>
  <si>
    <t>Is the missing via check is clean</t>
  </si>
  <si>
    <t>Is simulation time mentioned in the comments?</t>
  </si>
  <si>
    <t>Is resolution during dynamic simulation mentioned in comments ?</t>
  </si>
  <si>
    <t>Is VCD tag mentioned in the comments?</t>
  </si>
  <si>
    <t>SRG-IMP-11-3-0-01</t>
  </si>
  <si>
    <t>SRG-IMP-11-3-0-02</t>
  </si>
  <si>
    <t>SRG-IMP-11-3-0-03</t>
  </si>
  <si>
    <t>SRG-IMP-11-3-0-04</t>
  </si>
  <si>
    <t>SRG-IMP-11-3-0-05</t>
  </si>
  <si>
    <t>SRG-IMP-11-3-0-06</t>
  </si>
  <si>
    <t>IMP-11-0-0-26</t>
  </si>
  <si>
    <t>IMP-11-0-0-27</t>
  </si>
  <si>
    <t>Is the Delivery Package contains layer map file</t>
  </si>
  <si>
    <t>Is the Delivery Package contains Device List</t>
  </si>
  <si>
    <t>Is the Delivery Package contains IP vendor check list form</t>
  </si>
  <si>
    <t>Is the Delivery Package contains Test Chip Description doc</t>
  </si>
  <si>
    <t>Is the Delivery Package contains all the PV report files</t>
  </si>
  <si>
    <t>Is the Delivery Package contains all the PV run sets (Only settings)</t>
  </si>
  <si>
    <r>
      <rPr>
        <sz val="10"/>
        <color rgb="FFFF0000"/>
        <rFont val="Calibri"/>
        <family val="2"/>
        <scheme val="minor"/>
      </rPr>
      <t>MIG</t>
    </r>
    <r>
      <rPr>
        <sz val="10"/>
        <color theme="1"/>
        <rFont val="Calibri"/>
        <family val="2"/>
        <scheme val="minor"/>
      </rPr>
      <t>-IMP-11-1-0-02</t>
    </r>
  </si>
  <si>
    <r>
      <rPr>
        <sz val="10"/>
        <color rgb="FFFF0000"/>
        <rFont val="Calibri"/>
        <family val="2"/>
        <scheme val="minor"/>
      </rPr>
      <t>MIG</t>
    </r>
    <r>
      <rPr>
        <sz val="10"/>
        <color theme="1"/>
        <rFont val="Calibri"/>
        <family val="2"/>
        <scheme val="minor"/>
      </rPr>
      <t>-IMP-11-1-1-02</t>
    </r>
  </si>
  <si>
    <r>
      <rPr>
        <sz val="10"/>
        <color rgb="FFFF0000"/>
        <rFont val="Calibri"/>
        <family val="2"/>
        <scheme val="minor"/>
      </rPr>
      <t>MIG</t>
    </r>
    <r>
      <rPr>
        <sz val="10"/>
        <color theme="1"/>
        <rFont val="Calibri"/>
        <family val="2"/>
        <scheme val="minor"/>
      </rPr>
      <t>-IMP-10-1-1-02</t>
    </r>
  </si>
  <si>
    <r>
      <t xml:space="preserve"> 17.1 - FINAL DATA  (</t>
    </r>
    <r>
      <rPr>
        <b/>
        <sz val="10"/>
        <color rgb="FFFF0000"/>
        <rFont val="Calibri"/>
        <family val="2"/>
        <scheme val="minor"/>
      </rPr>
      <t>ONLY FOR HPP</t>
    </r>
    <r>
      <rPr>
        <b/>
        <sz val="10"/>
        <color theme="1"/>
        <rFont val="Calibri"/>
        <family val="2"/>
        <scheme val="minor"/>
      </rPr>
      <t>)</t>
    </r>
  </si>
  <si>
    <r>
      <rPr>
        <sz val="10"/>
        <color rgb="FFFF0000"/>
        <rFont val="Calibri"/>
        <family val="2"/>
        <scheme val="minor"/>
      </rPr>
      <t>HPP</t>
    </r>
    <r>
      <rPr>
        <sz val="10"/>
        <color theme="1"/>
        <rFont val="Calibri"/>
        <family val="2"/>
        <scheme val="minor"/>
      </rPr>
      <t>-IMP-17-1-0-00</t>
    </r>
  </si>
  <si>
    <r>
      <t xml:space="preserve"> 17.2 - FINAL DATA  (</t>
    </r>
    <r>
      <rPr>
        <b/>
        <sz val="10"/>
        <color rgb="FFFF0000"/>
        <rFont val="Calibri"/>
        <family val="2"/>
        <scheme val="minor"/>
      </rPr>
      <t>ONLY FOR HBM</t>
    </r>
    <r>
      <rPr>
        <b/>
        <sz val="10"/>
        <color theme="1"/>
        <rFont val="Calibri"/>
        <family val="2"/>
        <scheme val="minor"/>
      </rPr>
      <t>)</t>
    </r>
  </si>
  <si>
    <r>
      <rPr>
        <sz val="10"/>
        <color rgb="FFFF0000"/>
        <rFont val="Calibri"/>
        <family val="2"/>
        <scheme val="minor"/>
      </rPr>
      <t>HBM</t>
    </r>
    <r>
      <rPr>
        <sz val="10"/>
        <color theme="1"/>
        <rFont val="Calibri"/>
        <family val="2"/>
        <scheme val="minor"/>
      </rPr>
      <t>-IMP-17-2-0-00</t>
    </r>
  </si>
  <si>
    <r>
      <rPr>
        <sz val="10"/>
        <color rgb="FFFF0000"/>
        <rFont val="Calibri"/>
        <family val="2"/>
        <scheme val="minor"/>
      </rPr>
      <t>HBM</t>
    </r>
    <r>
      <rPr>
        <sz val="10"/>
        <color theme="1"/>
        <rFont val="Calibri"/>
        <family val="2"/>
        <scheme val="minor"/>
      </rPr>
      <t>-IMP-17-2-0-01</t>
    </r>
    <r>
      <rPr>
        <sz val="11"/>
        <color theme="1"/>
        <rFont val="Calibri"/>
        <family val="2"/>
        <scheme val="minor"/>
      </rPr>
      <t/>
    </r>
  </si>
  <si>
    <r>
      <t xml:space="preserve"> 17.3 - FINAL DATA  (</t>
    </r>
    <r>
      <rPr>
        <b/>
        <sz val="10"/>
        <color rgb="FFFF0000"/>
        <rFont val="Calibri"/>
        <family val="2"/>
        <scheme val="minor"/>
      </rPr>
      <t>ONLY FOR SRG</t>
    </r>
    <r>
      <rPr>
        <b/>
        <sz val="10"/>
        <color theme="1"/>
        <rFont val="Calibri"/>
        <family val="2"/>
        <scheme val="minor"/>
      </rPr>
      <t>)</t>
    </r>
  </si>
  <si>
    <r>
      <rPr>
        <sz val="10"/>
        <color rgb="FFFF0000"/>
        <rFont val="Calibri"/>
        <family val="2"/>
        <scheme val="minor"/>
      </rPr>
      <t>SRG</t>
    </r>
    <r>
      <rPr>
        <sz val="10"/>
        <color theme="1"/>
        <rFont val="Calibri"/>
        <family val="2"/>
        <scheme val="minor"/>
      </rPr>
      <t>-IMP-17-3-0-00</t>
    </r>
  </si>
  <si>
    <r>
      <rPr>
        <sz val="10"/>
        <color rgb="FFFF0000"/>
        <rFont val="Calibri"/>
        <family val="2"/>
        <scheme val="minor"/>
      </rPr>
      <t>SRG</t>
    </r>
    <r>
      <rPr>
        <sz val="10"/>
        <color theme="1"/>
        <rFont val="Calibri"/>
        <family val="2"/>
        <scheme val="minor"/>
      </rPr>
      <t>-IMP-17-3-0-01</t>
    </r>
    <r>
      <rPr>
        <sz val="11"/>
        <color theme="1"/>
        <rFont val="Calibri"/>
        <family val="2"/>
        <scheme val="minor"/>
      </rPr>
      <t/>
    </r>
  </si>
  <si>
    <r>
      <rPr>
        <sz val="10"/>
        <color rgb="FFFF0000"/>
        <rFont val="Calibri"/>
        <family val="2"/>
        <scheme val="minor"/>
      </rPr>
      <t>SRG</t>
    </r>
    <r>
      <rPr>
        <sz val="10"/>
        <color theme="1"/>
        <rFont val="Calibri"/>
        <family val="2"/>
        <scheme val="minor"/>
      </rPr>
      <t>-IMP-17-3-0-02</t>
    </r>
    <r>
      <rPr>
        <sz val="11"/>
        <color theme="1"/>
        <rFont val="Calibri"/>
        <family val="2"/>
        <scheme val="minor"/>
      </rPr>
      <t/>
    </r>
  </si>
  <si>
    <r>
      <rPr>
        <sz val="10"/>
        <color rgb="FFFF0000"/>
        <rFont val="Calibri"/>
        <family val="2"/>
        <scheme val="minor"/>
      </rPr>
      <t>SRG</t>
    </r>
    <r>
      <rPr>
        <sz val="10"/>
        <color theme="1"/>
        <rFont val="Calibri"/>
        <family val="2"/>
        <scheme val="minor"/>
      </rPr>
      <t>-IMP-17-3-0-03</t>
    </r>
    <r>
      <rPr>
        <sz val="11"/>
        <color theme="1"/>
        <rFont val="Calibri"/>
        <family val="2"/>
        <scheme val="minor"/>
      </rPr>
      <t/>
    </r>
  </si>
  <si>
    <r>
      <rPr>
        <sz val="10"/>
        <color rgb="FFFF0000"/>
        <rFont val="Calibri"/>
        <family val="2"/>
        <scheme val="minor"/>
      </rPr>
      <t>SRG</t>
    </r>
    <r>
      <rPr>
        <sz val="10"/>
        <color theme="1"/>
        <rFont val="Calibri"/>
        <family val="2"/>
        <scheme val="minor"/>
      </rPr>
      <t>-IMP-17-3-0-04</t>
    </r>
    <r>
      <rPr>
        <sz val="11"/>
        <color theme="1"/>
        <rFont val="Calibri"/>
        <family val="2"/>
        <scheme val="minor"/>
      </rPr>
      <t/>
    </r>
  </si>
  <si>
    <r>
      <rPr>
        <sz val="10"/>
        <color rgb="FFFF0000"/>
        <rFont val="Calibri"/>
        <family val="2"/>
        <scheme val="minor"/>
      </rPr>
      <t>SRG</t>
    </r>
    <r>
      <rPr>
        <sz val="10"/>
        <color theme="1"/>
        <rFont val="Calibri"/>
        <family val="2"/>
        <scheme val="minor"/>
      </rPr>
      <t>-IMP-17-3-0-05</t>
    </r>
    <r>
      <rPr>
        <sz val="11"/>
        <color theme="1"/>
        <rFont val="Calibri"/>
        <family val="2"/>
        <scheme val="minor"/>
      </rPr>
      <t/>
    </r>
  </si>
  <si>
    <t>DATA-5-0-0-02</t>
  </si>
  <si>
    <t xml:space="preserve">Confirm the SDF files match to netlist files in the delivery package. </t>
  </si>
  <si>
    <t>Are we adding metal ECO filler cells in the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</si>
</sst>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d\-mmm\-yy;@"/>
  </numFmts>
  <fonts count="24">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1"/>
      <color theme="1"/>
      <name val="Calibri"/>
      <family val="2"/>
      <charset val="134"/>
      <scheme val="minor"/>
    </font>
    <font>
      <sz val="10"/>
      <name val="Arial"/>
      <family val="2"/>
    </font>
    <font>
      <sz val="9"/>
      <color indexed="81"/>
      <name val="Tahoma"/>
      <family val="2"/>
    </font>
    <font>
      <b/>
      <sz val="9"/>
      <color indexed="81"/>
      <name val="Tahoma"/>
      <family val="2"/>
    </font>
    <font>
      <u/>
      <sz val="11"/>
      <color theme="10"/>
      <name val="Calibri"/>
      <family val="2"/>
    </font>
    <font>
      <sz val="8"/>
      <name val="Calibri"/>
      <family val="2"/>
      <scheme val="minor"/>
    </font>
    <font>
      <sz val="11"/>
      <color rgb="FF3F3F76"/>
      <name val="Calibri"/>
      <family val="2"/>
      <scheme val="minor"/>
    </font>
    <font>
      <sz val="8"/>
      <color theme="1"/>
      <name val="Consolas"/>
      <family val="3"/>
    </font>
    <font>
      <b/>
      <sz val="10"/>
      <color theme="1"/>
      <name val="Calibri"/>
      <family val="2"/>
      <scheme val="minor"/>
    </font>
    <font>
      <b/>
      <sz val="8"/>
      <color theme="1"/>
      <name val="Consolas"/>
      <family val="3"/>
    </font>
    <font>
      <sz val="10"/>
      <color theme="1"/>
      <name val="Calibri"/>
      <family val="2"/>
      <scheme val="minor"/>
    </font>
    <font>
      <sz val="10"/>
      <color rgb="FF000000"/>
      <name val="Calibri"/>
      <family val="2"/>
      <scheme val="minor"/>
    </font>
    <font>
      <sz val="10"/>
      <color rgb="FF3F3F76"/>
      <name val="Calibri"/>
      <family val="2"/>
      <scheme val="minor"/>
    </font>
    <font>
      <b/>
      <sz val="10"/>
      <color rgb="FFFF0000"/>
      <name val="Calibri"/>
      <family val="2"/>
      <scheme val="minor"/>
    </font>
    <font>
      <sz val="10"/>
      <color rgb="FFFF0000"/>
      <name val="Calibri"/>
      <family val="2"/>
      <scheme val="minor"/>
    </font>
    <font>
      <sz val="10"/>
      <name val="Calibri"/>
      <family val="2"/>
      <scheme val="minor"/>
    </font>
    <font>
      <sz val="11"/>
      <color rgb="FFFF0000"/>
      <name val="Calibri"/>
      <family val="2"/>
      <scheme val="minor"/>
    </font>
    <font>
      <u/>
      <sz val="11"/>
      <color theme="10"/>
      <name val="Calibri"/>
      <family val="2"/>
      <scheme val="minor"/>
    </font>
    <font>
      <b/>
      <sz val="11"/>
      <color rgb="FFFF0000"/>
      <name val="Calibri"/>
      <family val="2"/>
      <scheme val="minor"/>
    </font>
    <font>
      <sz val="11"/>
      <color rgb="FF000000"/>
      <name val="Calibri"/>
      <family val="2"/>
    </font>
  </fonts>
  <fills count="8">
    <fill>
      <patternFill patternType="none"/>
    </fill>
    <fill>
      <patternFill patternType="gray125"/>
    </fill>
    <fill>
      <patternFill patternType="solid">
        <fgColor rgb="FFFFCC99"/>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41">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rgb="FF7F7F7F"/>
      </left>
      <right style="thin">
        <color rgb="FF7F7F7F"/>
      </right>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thin">
        <color auto="1"/>
      </left>
      <right style="thin">
        <color auto="1"/>
      </right>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top style="medium">
        <color indexed="64"/>
      </top>
      <bottom/>
      <diagonal/>
    </border>
    <border>
      <left style="medium">
        <color indexed="64"/>
      </left>
      <right/>
      <top/>
      <bottom style="medium">
        <color indexed="64"/>
      </bottom>
      <diagonal/>
    </border>
    <border>
      <left style="medium">
        <color indexed="64"/>
      </left>
      <right/>
      <top/>
      <bottom style="thin">
        <color indexed="64"/>
      </bottom>
      <diagonal/>
    </border>
  </borders>
  <cellStyleXfs count="9">
    <xf numFmtId="0" fontId="0" fillId="0" borderId="0"/>
    <xf numFmtId="9" fontId="1" fillId="0" borderId="0" applyFont="0" applyFill="0" applyBorder="0" applyAlignment="0" applyProtection="0"/>
    <xf numFmtId="0" fontId="3" fillId="0" borderId="0"/>
    <xf numFmtId="0" fontId="4" fillId="0" borderId="0"/>
    <xf numFmtId="0" fontId="5" fillId="0" borderId="0"/>
    <xf numFmtId="0" fontId="8" fillId="0" borderId="0" applyNumberFormat="0" applyFill="0" applyBorder="0" applyAlignment="0" applyProtection="0">
      <alignment vertical="top"/>
      <protection locked="0"/>
    </xf>
    <xf numFmtId="0" fontId="10" fillId="2" borderId="3" applyNumberFormat="0" applyAlignment="0" applyProtection="0"/>
    <xf numFmtId="0" fontId="21" fillId="0" borderId="0" applyNumberFormat="0" applyFill="0" applyBorder="0" applyAlignment="0" applyProtection="0"/>
    <xf numFmtId="0" fontId="23" fillId="0" borderId="0">
      <alignment vertical="center"/>
    </xf>
  </cellStyleXfs>
  <cellXfs count="11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right" vertical="top"/>
    </xf>
    <xf numFmtId="0" fontId="11" fillId="0" borderId="0" xfId="0" applyFont="1" applyAlignment="1">
      <alignment horizontal="center" vertical="top"/>
    </xf>
    <xf numFmtId="0" fontId="0" fillId="0" borderId="0" xfId="0" applyAlignment="1">
      <alignment vertical="top"/>
    </xf>
    <xf numFmtId="0" fontId="12" fillId="0" borderId="0" xfId="0" applyFont="1" applyAlignment="1">
      <alignment vertical="top"/>
    </xf>
    <xf numFmtId="0" fontId="0" fillId="0" borderId="0" xfId="0" applyAlignment="1">
      <alignment horizontal="center" vertical="top"/>
    </xf>
    <xf numFmtId="0" fontId="0" fillId="0" borderId="0" xfId="0" applyAlignment="1">
      <alignment vertical="top" wrapText="1"/>
    </xf>
    <xf numFmtId="0" fontId="12" fillId="3" borderId="4" xfId="0" applyFont="1" applyFill="1" applyBorder="1" applyAlignment="1">
      <alignment horizontal="center" vertical="center" wrapText="1"/>
    </xf>
    <xf numFmtId="0" fontId="0" fillId="0" borderId="4" xfId="0" applyBorder="1" applyAlignment="1">
      <alignment vertical="top" wrapText="1"/>
    </xf>
    <xf numFmtId="0" fontId="13" fillId="0" borderId="0" xfId="0" applyFont="1" applyAlignment="1">
      <alignment horizontal="center" vertical="top"/>
    </xf>
    <xf numFmtId="0" fontId="12" fillId="3" borderId="4" xfId="0" quotePrefix="1" applyFont="1" applyFill="1" applyBorder="1" applyAlignment="1">
      <alignment horizontal="centerContinuous" vertical="center"/>
    </xf>
    <xf numFmtId="0" fontId="12" fillId="3" borderId="5" xfId="0" quotePrefix="1" applyFont="1" applyFill="1" applyBorder="1" applyAlignment="1">
      <alignment horizontal="centerContinuous" vertical="center"/>
    </xf>
    <xf numFmtId="164" fontId="11" fillId="0" borderId="6" xfId="1" applyNumberFormat="1" applyFont="1" applyBorder="1" applyAlignment="1" applyProtection="1">
      <alignment horizontal="centerContinuous" vertical="top"/>
    </xf>
    <xf numFmtId="0" fontId="11" fillId="0" borderId="7" xfId="0" applyFont="1" applyBorder="1" applyAlignment="1">
      <alignment horizontal="centerContinuous" vertical="top"/>
    </xf>
    <xf numFmtId="0" fontId="11" fillId="0" borderId="5" xfId="0" applyFont="1" applyBorder="1" applyAlignment="1">
      <alignment horizontal="centerContinuous" vertical="top"/>
    </xf>
    <xf numFmtId="0" fontId="12" fillId="0" borderId="0" xfId="0" applyFont="1" applyAlignment="1">
      <alignment horizontal="center" vertical="top"/>
    </xf>
    <xf numFmtId="0" fontId="12" fillId="0" borderId="0" xfId="0" applyFont="1" applyAlignment="1">
      <alignment horizontal="center" wrapText="1"/>
    </xf>
    <xf numFmtId="0" fontId="12" fillId="0" borderId="0" xfId="0" applyFont="1" applyAlignment="1">
      <alignment horizontal="center" vertical="top" wrapText="1"/>
    </xf>
    <xf numFmtId="0" fontId="11" fillId="0" borderId="8" xfId="0" applyFont="1" applyBorder="1" applyAlignment="1">
      <alignment horizontal="center" vertical="top"/>
    </xf>
    <xf numFmtId="0" fontId="0" fillId="0" borderId="0" xfId="0" applyAlignment="1">
      <alignment horizontal="left" vertical="top" wrapText="1"/>
    </xf>
    <xf numFmtId="0" fontId="12" fillId="3" borderId="10" xfId="0" quotePrefix="1" applyFont="1" applyFill="1" applyBorder="1" applyAlignment="1">
      <alignment vertical="center"/>
    </xf>
    <xf numFmtId="0" fontId="0" fillId="3" borderId="9" xfId="0" applyFill="1" applyBorder="1" applyAlignment="1">
      <alignment vertical="center"/>
    </xf>
    <xf numFmtId="0" fontId="12" fillId="3" borderId="2" xfId="0" quotePrefix="1" applyFont="1" applyFill="1" applyBorder="1" applyAlignment="1">
      <alignment vertical="center"/>
    </xf>
    <xf numFmtId="0" fontId="2" fillId="3" borderId="2" xfId="0" applyFont="1" applyFill="1" applyBorder="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2" fontId="14" fillId="0" borderId="2" xfId="0" applyNumberFormat="1" applyFont="1" applyBorder="1" applyAlignment="1">
      <alignment horizontal="centerContinuous" vertical="top"/>
    </xf>
    <xf numFmtId="0" fontId="15" fillId="0" borderId="2" xfId="0" applyFont="1" applyBorder="1"/>
    <xf numFmtId="0" fontId="16" fillId="2" borderId="2" xfId="6" applyFont="1" applyBorder="1" applyAlignment="1" applyProtection="1">
      <alignment horizontal="center" vertical="top"/>
      <protection locked="0"/>
    </xf>
    <xf numFmtId="0" fontId="16" fillId="2" borderId="2" xfId="6" applyFont="1" applyBorder="1" applyAlignment="1" applyProtection="1">
      <alignment vertical="top" wrapText="1"/>
      <protection locked="0"/>
    </xf>
    <xf numFmtId="0" fontId="16" fillId="2" borderId="2" xfId="6" applyFont="1" applyBorder="1" applyAlignment="1" applyProtection="1">
      <alignment horizontal="center" vertical="top" wrapText="1"/>
      <protection locked="0"/>
    </xf>
    <xf numFmtId="0" fontId="15" fillId="0" borderId="2" xfId="0" applyFont="1" applyBorder="1" applyAlignment="1">
      <alignment wrapText="1"/>
    </xf>
    <xf numFmtId="0" fontId="14" fillId="3" borderId="2" xfId="0" applyFont="1" applyFill="1" applyBorder="1" applyAlignment="1">
      <alignment vertical="center"/>
    </xf>
    <xf numFmtId="0" fontId="14" fillId="0" borderId="2" xfId="0" applyFont="1" applyBorder="1"/>
    <xf numFmtId="0" fontId="14" fillId="0" borderId="2" xfId="0" applyFont="1" applyBorder="1" applyAlignment="1">
      <alignment wrapText="1"/>
    </xf>
    <xf numFmtId="2" fontId="14" fillId="4" borderId="2" xfId="0" applyNumberFormat="1" applyFont="1" applyFill="1" applyBorder="1" applyAlignment="1">
      <alignment horizontal="centerContinuous" vertical="top"/>
    </xf>
    <xf numFmtId="0" fontId="14" fillId="4" borderId="2" xfId="0" applyFont="1" applyFill="1" applyBorder="1"/>
    <xf numFmtId="0" fontId="14" fillId="4" borderId="2" xfId="0" applyFont="1" applyFill="1" applyBorder="1" applyAlignment="1">
      <alignment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4" fillId="5" borderId="2" xfId="0" applyFont="1" applyFill="1" applyBorder="1" applyAlignment="1">
      <alignment wrapText="1"/>
    </xf>
    <xf numFmtId="2" fontId="14" fillId="5" borderId="2" xfId="0" applyNumberFormat="1" applyFont="1" applyFill="1" applyBorder="1" applyAlignment="1">
      <alignment horizontal="centerContinuous" vertical="top"/>
    </xf>
    <xf numFmtId="0" fontId="14" fillId="6" borderId="2" xfId="0" applyFont="1" applyFill="1" applyBorder="1" applyAlignment="1">
      <alignment wrapText="1"/>
    </xf>
    <xf numFmtId="2" fontId="14" fillId="6" borderId="2" xfId="0" applyNumberFormat="1" applyFont="1" applyFill="1" applyBorder="1" applyAlignment="1">
      <alignment horizontal="centerContinuous" vertical="top"/>
    </xf>
    <xf numFmtId="0" fontId="16" fillId="2" borderId="0" xfId="6" applyFont="1" applyBorder="1" applyAlignment="1" applyProtection="1">
      <alignment horizontal="center" vertical="top"/>
      <protection locked="0"/>
    </xf>
    <xf numFmtId="0" fontId="16" fillId="2" borderId="0" xfId="6" applyFont="1" applyBorder="1" applyAlignment="1" applyProtection="1">
      <alignment vertical="top" wrapText="1"/>
      <protection locked="0"/>
    </xf>
    <xf numFmtId="0" fontId="16" fillId="2" borderId="0" xfId="6" applyFont="1" applyBorder="1" applyAlignment="1" applyProtection="1">
      <alignment horizontal="center" vertical="top" wrapText="1"/>
      <protection locked="0"/>
    </xf>
    <xf numFmtId="0" fontId="14" fillId="0" borderId="0" xfId="0" applyFont="1" applyAlignment="1">
      <alignment wrapText="1"/>
    </xf>
    <xf numFmtId="0" fontId="12" fillId="3" borderId="4" xfId="0" applyFont="1" applyFill="1" applyBorder="1" applyAlignment="1">
      <alignment horizontal="center" vertical="top"/>
    </xf>
    <xf numFmtId="0" fontId="10" fillId="2" borderId="11" xfId="6" applyBorder="1" applyAlignment="1" applyProtection="1">
      <alignment horizontal="center" vertical="top"/>
      <protection locked="0"/>
    </xf>
    <xf numFmtId="0" fontId="10" fillId="2" borderId="3" xfId="6" applyAlignment="1" applyProtection="1">
      <alignment horizontal="center" vertical="top"/>
      <protection locked="0"/>
    </xf>
    <xf numFmtId="165" fontId="10" fillId="2" borderId="11" xfId="6" applyNumberFormat="1" applyBorder="1" applyAlignment="1" applyProtection="1">
      <alignment horizontal="center" vertical="top"/>
      <protection locked="0"/>
    </xf>
    <xf numFmtId="0" fontId="12" fillId="3" borderId="4" xfId="0" applyFont="1" applyFill="1" applyBorder="1" applyAlignment="1">
      <alignment horizontal="center"/>
    </xf>
    <xf numFmtId="0" fontId="10" fillId="2" borderId="11" xfId="6" applyBorder="1" applyAlignment="1" applyProtection="1">
      <alignment horizontal="left" vertical="top"/>
      <protection locked="0"/>
    </xf>
    <xf numFmtId="164" fontId="11" fillId="0" borderId="0" xfId="1" applyNumberFormat="1" applyFont="1" applyBorder="1" applyAlignment="1" applyProtection="1">
      <alignment horizontal="centerContinuous" vertical="top"/>
    </xf>
    <xf numFmtId="0" fontId="11" fillId="0" borderId="0" xfId="0" applyFont="1" applyAlignment="1">
      <alignment horizontal="centerContinuous" vertical="top"/>
    </xf>
    <xf numFmtId="0" fontId="0" fillId="0" borderId="20" xfId="0" applyBorder="1" applyAlignment="1">
      <alignment horizontal="center"/>
    </xf>
    <xf numFmtId="0" fontId="0" fillId="0" borderId="20" xfId="0" applyBorder="1"/>
    <xf numFmtId="0" fontId="0" fillId="0" borderId="2" xfId="0" applyBorder="1"/>
    <xf numFmtId="2" fontId="14" fillId="0" borderId="0" xfId="0" applyNumberFormat="1" applyFont="1" applyAlignment="1">
      <alignment horizontal="centerContinuous" vertical="top"/>
    </xf>
    <xf numFmtId="0" fontId="18" fillId="0" borderId="2" xfId="0" applyFont="1" applyBorder="1" applyAlignment="1">
      <alignment wrapText="1"/>
    </xf>
    <xf numFmtId="0" fontId="19" fillId="0" borderId="4" xfId="0" applyFont="1" applyBorder="1" applyAlignment="1">
      <alignment vertical="center" wrapText="1"/>
    </xf>
    <xf numFmtId="0" fontId="19" fillId="0" borderId="2" xfId="0" applyFont="1" applyBorder="1" applyAlignment="1">
      <alignment wrapText="1"/>
    </xf>
    <xf numFmtId="49" fontId="21" fillId="0" borderId="2" xfId="7" applyNumberFormat="1" applyBorder="1"/>
    <xf numFmtId="0" fontId="0" fillId="0" borderId="2" xfId="0" applyBorder="1" applyAlignment="1">
      <alignment horizontal="center"/>
    </xf>
    <xf numFmtId="0" fontId="0" fillId="0" borderId="1" xfId="0" applyBorder="1" applyAlignment="1">
      <alignment horizontal="left"/>
    </xf>
    <xf numFmtId="0" fontId="0" fillId="0" borderId="18" xfId="0" applyBorder="1" applyAlignment="1">
      <alignment horizontal="left"/>
    </xf>
    <xf numFmtId="49" fontId="21" fillId="0" borderId="20" xfId="7" applyNumberFormat="1" applyBorder="1"/>
    <xf numFmtId="0" fontId="0" fillId="0" borderId="21" xfId="0" applyBorder="1"/>
    <xf numFmtId="0" fontId="0" fillId="0" borderId="28" xfId="0" applyBorder="1"/>
    <xf numFmtId="0" fontId="0" fillId="0" borderId="30" xfId="0" applyBorder="1" applyAlignment="1">
      <alignment horizontal="left"/>
    </xf>
    <xf numFmtId="0" fontId="0" fillId="0" borderId="30" xfId="0" applyBorder="1"/>
    <xf numFmtId="49" fontId="21" fillId="0" borderId="30" xfId="7" applyNumberFormat="1" applyBorder="1"/>
    <xf numFmtId="0" fontId="0" fillId="0" borderId="31" xfId="0" applyBorder="1" applyAlignment="1">
      <alignment wrapText="1"/>
    </xf>
    <xf numFmtId="49" fontId="21" fillId="7" borderId="20" xfId="7" applyNumberFormat="1" applyFill="1" applyBorder="1"/>
    <xf numFmtId="0" fontId="12" fillId="3" borderId="25" xfId="0" applyFont="1" applyFill="1" applyBorder="1" applyAlignment="1">
      <alignment horizontal="center" vertical="center"/>
    </xf>
    <xf numFmtId="0" fontId="2" fillId="0" borderId="34" xfId="0" applyFont="1" applyBorder="1"/>
    <xf numFmtId="0" fontId="12" fillId="3" borderId="16" xfId="0" applyFont="1" applyFill="1" applyBorder="1" applyAlignment="1">
      <alignment horizontal="left" vertical="center"/>
    </xf>
    <xf numFmtId="0" fontId="12" fillId="3" borderId="23" xfId="0" applyFont="1" applyFill="1" applyBorder="1" applyAlignment="1">
      <alignment horizontal="center" vertical="center"/>
    </xf>
    <xf numFmtId="0" fontId="12" fillId="3" borderId="29" xfId="0" applyFont="1" applyFill="1" applyBorder="1" applyAlignment="1">
      <alignment horizontal="center" vertical="center"/>
    </xf>
    <xf numFmtId="0" fontId="12" fillId="3" borderId="33" xfId="0" applyFont="1" applyFill="1" applyBorder="1" applyAlignment="1">
      <alignment horizontal="center" vertical="center"/>
    </xf>
    <xf numFmtId="0" fontId="12" fillId="3" borderId="32" xfId="0" applyFont="1" applyFill="1" applyBorder="1" applyAlignment="1">
      <alignment horizontal="center" vertical="center"/>
    </xf>
    <xf numFmtId="0" fontId="12" fillId="3" borderId="35" xfId="0" applyFont="1" applyFill="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0" fillId="0" borderId="14" xfId="0" applyBorder="1"/>
    <xf numFmtId="0" fontId="0" fillId="0" borderId="15" xfId="0" applyBorder="1"/>
    <xf numFmtId="0" fontId="12" fillId="3" borderId="36"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38" xfId="0" applyFont="1" applyFill="1" applyBorder="1" applyAlignment="1">
      <alignment horizontal="center" vertical="center"/>
    </xf>
    <xf numFmtId="0" fontId="0" fillId="0" borderId="24" xfId="0" applyBorder="1" applyAlignment="1">
      <alignment horizontal="center"/>
    </xf>
    <xf numFmtId="0" fontId="12" fillId="3" borderId="17" xfId="0" applyFont="1" applyFill="1" applyBorder="1" applyAlignment="1">
      <alignment horizontal="center" vertical="center"/>
    </xf>
    <xf numFmtId="0" fontId="12" fillId="3" borderId="33" xfId="0" applyFont="1" applyFill="1" applyBorder="1" applyAlignment="1">
      <alignment horizontal="left" vertical="center"/>
    </xf>
    <xf numFmtId="0" fontId="12" fillId="3" borderId="39" xfId="0" applyFont="1" applyFill="1" applyBorder="1" applyAlignment="1">
      <alignment horizontal="center" vertical="center"/>
    </xf>
    <xf numFmtId="0" fontId="2" fillId="0" borderId="40" xfId="0" applyFont="1" applyBorder="1"/>
    <xf numFmtId="0" fontId="0" fillId="0" borderId="29" xfId="0" applyBorder="1" applyAlignment="1">
      <alignment horizontal="center"/>
    </xf>
    <xf numFmtId="0" fontId="0" fillId="0" borderId="30" xfId="0" applyBorder="1" applyAlignment="1">
      <alignment horizontal="center"/>
    </xf>
    <xf numFmtId="0" fontId="0" fillId="0" borderId="31" xfId="0" applyBorder="1"/>
    <xf numFmtId="0" fontId="22" fillId="0" borderId="12" xfId="0" applyFont="1" applyBorder="1"/>
    <xf numFmtId="0" fontId="11" fillId="0" borderId="0" xfId="0" applyFont="1" applyBorder="1" applyAlignment="1">
      <alignment horizontal="center" vertical="top"/>
    </xf>
    <xf numFmtId="2" fontId="14" fillId="0" borderId="0" xfId="0" applyNumberFormat="1" applyFont="1" applyBorder="1" applyAlignment="1">
      <alignment horizontal="centerContinuous" vertical="top"/>
    </xf>
    <xf numFmtId="0" fontId="14" fillId="0" borderId="0" xfId="0" applyFont="1" applyBorder="1" applyAlignment="1">
      <alignment wrapText="1"/>
    </xf>
    <xf numFmtId="0" fontId="0" fillId="0" borderId="0" xfId="0" applyBorder="1" applyAlignment="1">
      <alignment vertical="top" wrapText="1"/>
    </xf>
    <xf numFmtId="0" fontId="0" fillId="0" borderId="18" xfId="0" applyBorder="1" applyAlignment="1">
      <alignment horizontal="left"/>
    </xf>
    <xf numFmtId="0" fontId="0" fillId="0" borderId="26" xfId="0" applyBorder="1" applyAlignment="1">
      <alignment horizontal="left"/>
    </xf>
    <xf numFmtId="0" fontId="0" fillId="0" borderId="22" xfId="0" applyBorder="1" applyAlignment="1">
      <alignment horizontal="left"/>
    </xf>
    <xf numFmtId="0" fontId="0" fillId="0" borderId="19" xfId="0" applyBorder="1" applyAlignment="1">
      <alignment horizontal="left"/>
    </xf>
    <xf numFmtId="0" fontId="0" fillId="0" borderId="27" xfId="0" applyBorder="1" applyAlignment="1">
      <alignment horizontal="left"/>
    </xf>
    <xf numFmtId="0" fontId="0" fillId="0" borderId="29" xfId="0" applyBorder="1" applyAlignment="1">
      <alignment horizontal="left"/>
    </xf>
    <xf numFmtId="0" fontId="0" fillId="0" borderId="18" xfId="0" applyBorder="1" applyAlignment="1">
      <alignment horizontal="left" wrapText="1"/>
    </xf>
    <xf numFmtId="0" fontId="0" fillId="0" borderId="26" xfId="0" applyBorder="1" applyAlignment="1">
      <alignment horizontal="left" wrapText="1"/>
    </xf>
    <xf numFmtId="0" fontId="0" fillId="0" borderId="32" xfId="0" applyBorder="1" applyAlignment="1">
      <alignment horizontal="left" wrapText="1"/>
    </xf>
    <xf numFmtId="0" fontId="0" fillId="0" borderId="32" xfId="0" applyBorder="1" applyAlignment="1">
      <alignment horizontal="left"/>
    </xf>
    <xf numFmtId="0" fontId="0" fillId="0" borderId="1" xfId="0" applyBorder="1" applyAlignment="1">
      <alignment horizontal="left"/>
    </xf>
  </cellXfs>
  <cellStyles count="9">
    <cellStyle name="Excel Built-in Normal" xfId="2" xr:uid="{00000000-0005-0000-0000-000000000000}"/>
    <cellStyle name="Hyperlink" xfId="7" builtinId="8"/>
    <cellStyle name="Hyperlink 2" xfId="5" xr:uid="{0323D801-81D9-4D9B-8790-823F47077420}"/>
    <cellStyle name="Input" xfId="6" builtinId="20"/>
    <cellStyle name="Normal" xfId="0" builtinId="0"/>
    <cellStyle name="Normal 2" xfId="3" xr:uid="{00000000-0005-0000-0000-000003000000}"/>
    <cellStyle name="Normal 2 2" xfId="8" xr:uid="{1A8C7ED3-78A1-4AE3-A9CF-0D9C613153FA}"/>
    <cellStyle name="Normal 3" xfId="4" xr:uid="{00000000-0005-0000-0000-000004000000}"/>
    <cellStyle name="Percent" xfId="1" builtinId="5"/>
  </cellStyles>
  <dxfs count="128">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hyperlink" Target="mailto:typical@105C" TargetMode="External"/><Relationship Id="rId13" Type="http://schemas.openxmlformats.org/officeDocument/2006/relationships/hyperlink" Target="mailto:rcbest_CCbest@m40C(spef)" TargetMode="External"/><Relationship Id="rId18" Type="http://schemas.openxmlformats.org/officeDocument/2006/relationships/hyperlink" Target="mailto:SigRCmaxDP_Erplus@125C" TargetMode="External"/><Relationship Id="rId3" Type="http://schemas.openxmlformats.org/officeDocument/2006/relationships/hyperlink" Target="mailto:SigRCmaxDP_Erplus@125C" TargetMode="External"/><Relationship Id="rId7" Type="http://schemas.openxmlformats.org/officeDocument/2006/relationships/hyperlink" Target="mailto:SigRCmaxDP_Erplus@125C" TargetMode="External"/><Relationship Id="rId12" Type="http://schemas.openxmlformats.org/officeDocument/2006/relationships/hyperlink" Target="mailto:typical@105C" TargetMode="External"/><Relationship Id="rId17" Type="http://schemas.openxmlformats.org/officeDocument/2006/relationships/hyperlink" Target="mailto:cworst_Ccworst@125C" TargetMode="External"/><Relationship Id="rId2" Type="http://schemas.openxmlformats.org/officeDocument/2006/relationships/hyperlink" Target="mailto:SigRCmaxDP_Erplus@125C" TargetMode="External"/><Relationship Id="rId16" Type="http://schemas.openxmlformats.org/officeDocument/2006/relationships/hyperlink" Target="mailto:cworst_Ccworst@125C" TargetMode="External"/><Relationship Id="rId1" Type="http://schemas.openxmlformats.org/officeDocument/2006/relationships/hyperlink" Target="mailto:cworst_Ccworst@125C" TargetMode="External"/><Relationship Id="rId6" Type="http://schemas.openxmlformats.org/officeDocument/2006/relationships/hyperlink" Target="mailto:SigRCmaxDP_Erplus@125C" TargetMode="External"/><Relationship Id="rId11" Type="http://schemas.openxmlformats.org/officeDocument/2006/relationships/hyperlink" Target="mailto:SigRCmaxDP_Erplus@125C" TargetMode="External"/><Relationship Id="rId5" Type="http://schemas.openxmlformats.org/officeDocument/2006/relationships/hyperlink" Target="mailto:cworst_Ccworst@125C" TargetMode="External"/><Relationship Id="rId15" Type="http://schemas.openxmlformats.org/officeDocument/2006/relationships/hyperlink" Target="mailto:typical@105C" TargetMode="External"/><Relationship Id="rId10" Type="http://schemas.openxmlformats.org/officeDocument/2006/relationships/hyperlink" Target="mailto:typical@85C" TargetMode="External"/><Relationship Id="rId19" Type="http://schemas.openxmlformats.org/officeDocument/2006/relationships/hyperlink" Target="mailto:typical@105C" TargetMode="External"/><Relationship Id="rId4" Type="http://schemas.openxmlformats.org/officeDocument/2006/relationships/hyperlink" Target="mailto:typical@105C" TargetMode="External"/><Relationship Id="rId9" Type="http://schemas.openxmlformats.org/officeDocument/2006/relationships/hyperlink" Target="mailto:typical@85C" TargetMode="External"/><Relationship Id="rId14" Type="http://schemas.openxmlformats.org/officeDocument/2006/relationships/hyperlink" Target="mailto:SigRCmaxDP_Erplus@125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C747-755B-46FE-AB71-EE72D490CC8F}">
  <dimension ref="A4:R471"/>
  <sheetViews>
    <sheetView showGridLines="0" tabSelected="1" topLeftCell="A384" zoomScale="110" zoomScaleNormal="110" workbookViewId="0">
      <selection activeCell="F83" sqref="F83"/>
    </sheetView>
  </sheetViews>
  <sheetFormatPr defaultRowHeight="14.5"/>
  <cols>
    <col min="2" max="2" width="5.6328125" customWidth="1"/>
    <col min="3" max="3" width="5.26953125" customWidth="1"/>
    <col min="4" max="4" width="4.453125" customWidth="1"/>
    <col min="5" max="5" width="15.453125" customWidth="1"/>
    <col min="6" max="6" width="112.08984375" customWidth="1"/>
    <col min="7" max="7" width="14.54296875" customWidth="1"/>
    <col min="8" max="8" width="24.453125" customWidth="1"/>
    <col min="9" max="9" width="13.81640625" customWidth="1"/>
    <col min="11" max="11" width="13.36328125" customWidth="1"/>
    <col min="12" max="12" width="13.26953125" customWidth="1"/>
    <col min="13" max="13" width="13.7265625" customWidth="1"/>
    <col min="14" max="14" width="20" customWidth="1"/>
    <col min="15" max="15" width="51.453125" customWidth="1"/>
    <col min="16" max="16" width="21.90625" customWidth="1"/>
    <col min="18" max="18" width="84.7265625" customWidth="1"/>
  </cols>
  <sheetData>
    <row r="4" spans="5:9">
      <c r="E4" s="7"/>
      <c r="F4" s="50" t="s">
        <v>350</v>
      </c>
      <c r="G4" s="9" t="s">
        <v>208</v>
      </c>
      <c r="H4" s="5"/>
    </row>
    <row r="5" spans="5:9">
      <c r="E5" s="3" t="s">
        <v>351</v>
      </c>
      <c r="F5" s="51"/>
      <c r="G5" s="55" t="s">
        <v>352</v>
      </c>
      <c r="H5" s="5"/>
    </row>
    <row r="6" spans="5:9">
      <c r="E6" s="3" t="s">
        <v>353</v>
      </c>
      <c r="F6" s="51"/>
      <c r="G6" s="55" t="s">
        <v>354</v>
      </c>
      <c r="H6" s="5"/>
    </row>
    <row r="7" spans="5:9">
      <c r="E7" s="3" t="s">
        <v>357</v>
      </c>
      <c r="F7" s="51"/>
      <c r="G7" s="55" t="s">
        <v>355</v>
      </c>
      <c r="H7" s="5"/>
    </row>
    <row r="8" spans="5:9">
      <c r="E8" s="3" t="s">
        <v>358</v>
      </c>
      <c r="F8" s="51"/>
      <c r="G8" s="55" t="s">
        <v>356</v>
      </c>
      <c r="H8" s="5"/>
    </row>
    <row r="9" spans="5:9">
      <c r="E9" s="3" t="s">
        <v>359</v>
      </c>
      <c r="F9" s="51"/>
      <c r="G9" s="55" t="s">
        <v>360</v>
      </c>
      <c r="H9" s="5"/>
    </row>
    <row r="10" spans="5:9">
      <c r="E10" s="3" t="s">
        <v>361</v>
      </c>
      <c r="F10" s="51"/>
      <c r="G10" s="55" t="s">
        <v>362</v>
      </c>
      <c r="H10" s="5"/>
    </row>
    <row r="11" spans="5:9">
      <c r="E11" s="3" t="s">
        <v>365</v>
      </c>
      <c r="F11" s="51"/>
      <c r="G11" s="55" t="s">
        <v>366</v>
      </c>
      <c r="H11" s="5"/>
    </row>
    <row r="12" spans="5:9">
      <c r="E12" s="3" t="s">
        <v>363</v>
      </c>
      <c r="F12" s="51"/>
      <c r="G12" s="55" t="s">
        <v>364</v>
      </c>
      <c r="H12" s="5"/>
    </row>
    <row r="13" spans="5:9">
      <c r="E13" s="3" t="s">
        <v>367</v>
      </c>
      <c r="F13" s="51"/>
      <c r="G13" s="55" t="s">
        <v>368</v>
      </c>
      <c r="H13" s="5"/>
    </row>
    <row r="14" spans="5:9">
      <c r="E14" s="3" t="s">
        <v>369</v>
      </c>
      <c r="F14" s="53"/>
      <c r="G14" s="55" t="s">
        <v>370</v>
      </c>
      <c r="H14" s="5"/>
      <c r="I14" s="8"/>
    </row>
    <row r="15" spans="5:9">
      <c r="E15" s="7"/>
      <c r="F15" s="5"/>
      <c r="H15" s="5"/>
      <c r="I15" s="8"/>
    </row>
    <row r="16" spans="5:9">
      <c r="E16" s="7"/>
      <c r="F16" s="50" t="s">
        <v>341</v>
      </c>
      <c r="G16" s="54" t="s">
        <v>342</v>
      </c>
      <c r="H16" s="5"/>
    </row>
    <row r="17" spans="1:18">
      <c r="E17" s="3" t="s">
        <v>343</v>
      </c>
      <c r="F17" s="51"/>
      <c r="G17" s="53"/>
      <c r="H17" s="5"/>
    </row>
    <row r="18" spans="1:18">
      <c r="E18" s="3" t="s">
        <v>345</v>
      </c>
      <c r="F18" s="52"/>
      <c r="G18" s="53"/>
      <c r="H18" s="5"/>
    </row>
    <row r="19" spans="1:18">
      <c r="E19" s="3" t="s">
        <v>346</v>
      </c>
      <c r="F19" s="52"/>
      <c r="G19" s="53"/>
      <c r="H19" s="5"/>
    </row>
    <row r="20" spans="1:18">
      <c r="E20" s="3" t="s">
        <v>347</v>
      </c>
      <c r="F20" s="52"/>
      <c r="G20" s="53"/>
      <c r="H20" s="5"/>
    </row>
    <row r="21" spans="1:18">
      <c r="E21" s="3" t="s">
        <v>348</v>
      </c>
      <c r="F21" s="52"/>
      <c r="G21" s="53"/>
      <c r="H21" s="5"/>
    </row>
    <row r="22" spans="1:18">
      <c r="E22" s="3" t="s">
        <v>344</v>
      </c>
      <c r="F22" s="52"/>
      <c r="G22" s="53"/>
      <c r="H22" s="5"/>
    </row>
    <row r="23" spans="1:18">
      <c r="E23" s="3" t="s">
        <v>349</v>
      </c>
      <c r="F23" s="52"/>
      <c r="G23" s="53"/>
      <c r="H23" s="5"/>
    </row>
    <row r="24" spans="1:18">
      <c r="E24" s="7"/>
      <c r="F24" s="5"/>
      <c r="H24" s="5"/>
      <c r="I24" s="8"/>
    </row>
    <row r="25" spans="1:18">
      <c r="A25" s="11"/>
      <c r="B25" s="11"/>
      <c r="C25" s="11"/>
      <c r="D25" s="5"/>
      <c r="E25" s="6"/>
      <c r="F25" s="7"/>
      <c r="G25" s="7"/>
      <c r="H25" s="7"/>
      <c r="I25" s="7"/>
      <c r="J25" s="7"/>
      <c r="K25" s="7"/>
      <c r="L25" s="7"/>
      <c r="M25" s="17"/>
      <c r="N25" s="17"/>
      <c r="O25" s="17"/>
      <c r="P25" s="5"/>
      <c r="Q25" s="5"/>
      <c r="R25" s="8"/>
    </row>
    <row r="26" spans="1:18">
      <c r="A26" s="12" t="s">
        <v>209</v>
      </c>
      <c r="B26" s="13"/>
      <c r="C26" s="13"/>
      <c r="D26" s="5"/>
      <c r="E26" s="6"/>
      <c r="F26" s="3"/>
      <c r="G26" s="3"/>
      <c r="H26" s="3"/>
      <c r="I26" s="3"/>
      <c r="J26" s="3"/>
      <c r="K26" s="3"/>
      <c r="L26" s="3"/>
      <c r="M26" s="17"/>
      <c r="N26" s="17"/>
      <c r="O26" s="17"/>
      <c r="P26" s="5"/>
      <c r="Q26" s="5"/>
      <c r="R26" s="8"/>
    </row>
    <row r="27" spans="1:18">
      <c r="A27" s="14" t="e">
        <f>COUNTIFS($A$114:$A$345,"OK",$B$114:$B$345,"OK",$C$114:$C$345,"OK")/COUNT(#REF!)</f>
        <v>#DIV/0!</v>
      </c>
      <c r="B27" s="15"/>
      <c r="C27" s="16"/>
      <c r="D27" s="17"/>
      <c r="E27" s="17"/>
      <c r="F27" s="17"/>
      <c r="G27" s="17"/>
      <c r="H27" s="17"/>
      <c r="I27" s="17"/>
      <c r="J27" s="17"/>
      <c r="K27" s="17"/>
      <c r="L27" s="17"/>
      <c r="M27" s="17"/>
      <c r="N27" s="17"/>
      <c r="O27" s="17"/>
      <c r="P27" s="18"/>
      <c r="Q27" s="17"/>
      <c r="R27" s="19"/>
    </row>
    <row r="28" spans="1:18">
      <c r="A28" s="56"/>
      <c r="B28" s="57"/>
      <c r="C28" s="57"/>
      <c r="D28" s="17"/>
      <c r="E28" s="17"/>
      <c r="F28" s="17"/>
      <c r="G28" s="17"/>
      <c r="H28" s="17"/>
      <c r="I28" s="17"/>
      <c r="J28" s="17"/>
      <c r="K28" s="17"/>
      <c r="L28" s="17"/>
      <c r="M28" s="17"/>
      <c r="N28" s="17"/>
      <c r="O28" s="17"/>
      <c r="P28" s="18"/>
      <c r="Q28" s="17"/>
      <c r="R28" s="19"/>
    </row>
    <row r="29" spans="1:18">
      <c r="A29" s="56"/>
      <c r="B29" s="57"/>
      <c r="C29" s="57"/>
      <c r="D29" s="17"/>
      <c r="E29" s="17"/>
      <c r="F29" s="17"/>
      <c r="G29" s="17"/>
      <c r="H29" s="17"/>
      <c r="I29" s="17"/>
      <c r="J29" s="17"/>
      <c r="K29" s="17"/>
      <c r="L29" s="17"/>
      <c r="M29" s="17"/>
      <c r="N29" s="17"/>
      <c r="O29" s="17"/>
      <c r="P29" s="18"/>
      <c r="Q29" s="17"/>
      <c r="R29" s="19"/>
    </row>
    <row r="30" spans="1:18" ht="27.5">
      <c r="A30" s="12" t="s">
        <v>210</v>
      </c>
      <c r="B30" s="13"/>
      <c r="C30" s="13"/>
      <c r="D30" s="2"/>
      <c r="E30" s="24" t="s">
        <v>371</v>
      </c>
      <c r="F30" s="25"/>
      <c r="G30" s="26" t="s">
        <v>214</v>
      </c>
      <c r="H30" s="26" t="s">
        <v>215</v>
      </c>
      <c r="I30" s="26" t="s">
        <v>219</v>
      </c>
      <c r="J30" s="26" t="s">
        <v>211</v>
      </c>
      <c r="K30" s="26" t="s">
        <v>216</v>
      </c>
      <c r="L30" s="26" t="s">
        <v>217</v>
      </c>
      <c r="M30" s="26" t="s">
        <v>220</v>
      </c>
      <c r="N30" s="26" t="s">
        <v>221</v>
      </c>
      <c r="O30" s="26" t="s">
        <v>208</v>
      </c>
      <c r="P30" s="27" t="s">
        <v>212</v>
      </c>
      <c r="Q30" s="2"/>
      <c r="R30" s="9" t="s">
        <v>213</v>
      </c>
    </row>
    <row r="31" spans="1:18">
      <c r="A31" s="20" t="str">
        <f t="shared" ref="A31:A34" si="0">IF(J31="","RESP","")</f>
        <v>RESP</v>
      </c>
      <c r="B31" s="20" t="str">
        <f t="shared" ref="B31:B34" si="1">IF(M31="","INIT","")</f>
        <v>INIT</v>
      </c>
      <c r="C31" s="20" t="str">
        <f t="shared" ref="C31:C34" si="2">IF(AND(J31="NO",O31=""),"CMTS","")</f>
        <v/>
      </c>
      <c r="D31" s="2"/>
      <c r="E31" s="28" t="s">
        <v>234</v>
      </c>
      <c r="F31" s="29" t="s">
        <v>374</v>
      </c>
      <c r="G31" s="30" t="s">
        <v>218</v>
      </c>
      <c r="H31" s="30" t="s">
        <v>218</v>
      </c>
      <c r="I31" s="30" t="s">
        <v>218</v>
      </c>
      <c r="J31" s="30"/>
      <c r="K31" s="30" t="s">
        <v>144</v>
      </c>
      <c r="L31" s="30"/>
      <c r="M31" s="30"/>
      <c r="N31" s="30"/>
      <c r="O31" s="31"/>
      <c r="P31" s="32"/>
      <c r="Q31" s="2"/>
      <c r="R31" s="10"/>
    </row>
    <row r="32" spans="1:18">
      <c r="A32" s="20" t="str">
        <f t="shared" si="0"/>
        <v>RESP</v>
      </c>
      <c r="B32" s="20" t="str">
        <f t="shared" si="1"/>
        <v>INIT</v>
      </c>
      <c r="C32" s="20" t="str">
        <f t="shared" si="2"/>
        <v/>
      </c>
      <c r="D32" s="2"/>
      <c r="E32" s="28" t="s">
        <v>235</v>
      </c>
      <c r="F32" s="33" t="s">
        <v>372</v>
      </c>
      <c r="G32" s="30" t="s">
        <v>218</v>
      </c>
      <c r="H32" s="30" t="s">
        <v>218</v>
      </c>
      <c r="I32" s="30" t="s">
        <v>218</v>
      </c>
      <c r="J32" s="30"/>
      <c r="K32" s="30" t="s">
        <v>194</v>
      </c>
      <c r="L32" s="30"/>
      <c r="M32" s="30"/>
      <c r="N32" s="30"/>
      <c r="O32" s="31"/>
      <c r="P32" s="32"/>
      <c r="Q32" s="2"/>
      <c r="R32" s="10"/>
    </row>
    <row r="33" spans="1:18">
      <c r="A33" s="20" t="str">
        <f t="shared" ref="A33" si="3">IF(J33="","RESP","")</f>
        <v>RESP</v>
      </c>
      <c r="B33" s="20" t="str">
        <f t="shared" ref="B33" si="4">IF(M33="","INIT","")</f>
        <v>INIT</v>
      </c>
      <c r="C33" s="20" t="str">
        <f t="shared" ref="C33" si="5">IF(AND(J33="NO",O33=""),"CMTS","")</f>
        <v/>
      </c>
      <c r="D33" s="2"/>
      <c r="E33" s="28" t="s">
        <v>236</v>
      </c>
      <c r="F33" s="29" t="s">
        <v>895</v>
      </c>
      <c r="G33" s="30" t="s">
        <v>218</v>
      </c>
      <c r="H33" s="30" t="s">
        <v>218</v>
      </c>
      <c r="I33" s="30" t="s">
        <v>218</v>
      </c>
      <c r="J33" s="30"/>
      <c r="K33" s="30" t="s">
        <v>144</v>
      </c>
      <c r="L33" s="30"/>
      <c r="M33" s="30"/>
      <c r="N33" s="30"/>
      <c r="O33" s="31"/>
      <c r="P33" s="32"/>
      <c r="Q33" s="2"/>
      <c r="R33" s="10"/>
    </row>
    <row r="34" spans="1:18">
      <c r="A34" s="20" t="str">
        <f t="shared" si="0"/>
        <v>RESP</v>
      </c>
      <c r="B34" s="20" t="str">
        <f t="shared" si="1"/>
        <v>INIT</v>
      </c>
      <c r="C34" s="20" t="str">
        <f t="shared" si="2"/>
        <v/>
      </c>
      <c r="D34" s="2"/>
      <c r="E34" s="28" t="s">
        <v>607</v>
      </c>
      <c r="F34" s="29" t="s">
        <v>373</v>
      </c>
      <c r="G34" s="30" t="s">
        <v>218</v>
      </c>
      <c r="H34" s="30" t="s">
        <v>218</v>
      </c>
      <c r="I34" s="30" t="s">
        <v>218</v>
      </c>
      <c r="J34" s="30"/>
      <c r="K34" s="30" t="s">
        <v>194</v>
      </c>
      <c r="L34" s="30"/>
      <c r="M34" s="30"/>
      <c r="N34" s="30"/>
      <c r="O34" s="31"/>
      <c r="P34" s="32"/>
      <c r="Q34" s="2"/>
      <c r="R34" s="10"/>
    </row>
    <row r="35" spans="1:18">
      <c r="A35" s="20" t="str">
        <f t="shared" ref="A35" si="6">IF(J35="","RESP","")</f>
        <v>RESP</v>
      </c>
      <c r="B35" s="20" t="str">
        <f t="shared" ref="B35" si="7">IF(M35="","INIT","")</f>
        <v>INIT</v>
      </c>
      <c r="C35" s="20" t="str">
        <f t="shared" ref="C35" si="8">IF(AND(J35="NO",O35=""),"CMTS","")</f>
        <v/>
      </c>
      <c r="D35" s="2"/>
      <c r="E35" s="28" t="s">
        <v>638</v>
      </c>
      <c r="F35" s="29" t="s">
        <v>963</v>
      </c>
      <c r="G35" s="30" t="s">
        <v>218</v>
      </c>
      <c r="H35" s="30" t="s">
        <v>218</v>
      </c>
      <c r="I35" s="30" t="s">
        <v>218</v>
      </c>
      <c r="J35" s="30"/>
      <c r="K35" s="30" t="s">
        <v>144</v>
      </c>
      <c r="L35" s="30"/>
      <c r="M35" s="30"/>
      <c r="N35" s="30"/>
      <c r="O35" s="31"/>
      <c r="P35" s="32"/>
      <c r="Q35" s="2"/>
      <c r="R35" s="10"/>
    </row>
    <row r="36" spans="1:18">
      <c r="A36" s="4"/>
      <c r="B36" s="4"/>
      <c r="C36" s="56"/>
      <c r="D36" s="57"/>
      <c r="E36" s="57"/>
      <c r="F36" s="17"/>
      <c r="G36" s="17"/>
      <c r="H36" s="17"/>
      <c r="I36" s="17"/>
      <c r="J36" s="17"/>
      <c r="K36" s="17"/>
      <c r="L36" s="17"/>
      <c r="M36" s="17"/>
      <c r="N36" s="17"/>
      <c r="O36" s="17"/>
      <c r="P36" s="17"/>
      <c r="Q36" s="17"/>
      <c r="R36" s="18"/>
    </row>
    <row r="37" spans="1:18">
      <c r="A37" s="56"/>
      <c r="B37" s="57"/>
      <c r="C37" s="57"/>
      <c r="D37" s="17"/>
      <c r="E37" s="17"/>
      <c r="F37" s="17"/>
      <c r="G37" s="17"/>
      <c r="H37" s="17"/>
      <c r="I37" s="17"/>
      <c r="J37" s="17"/>
      <c r="K37" s="17"/>
      <c r="L37" s="17"/>
      <c r="M37" s="17"/>
      <c r="N37" s="17"/>
      <c r="O37" s="17"/>
      <c r="P37" s="18"/>
      <c r="Q37" s="17"/>
      <c r="R37" s="19"/>
    </row>
    <row r="38" spans="1:18" ht="27.5">
      <c r="A38" s="12" t="s">
        <v>210</v>
      </c>
      <c r="B38" s="13"/>
      <c r="C38" s="13"/>
      <c r="D38" s="2"/>
      <c r="E38" s="24" t="s">
        <v>389</v>
      </c>
      <c r="F38" s="25"/>
      <c r="G38" s="26" t="s">
        <v>214</v>
      </c>
      <c r="H38" s="26" t="s">
        <v>215</v>
      </c>
      <c r="I38" s="26" t="s">
        <v>219</v>
      </c>
      <c r="J38" s="26" t="s">
        <v>211</v>
      </c>
      <c r="K38" s="26" t="s">
        <v>216</v>
      </c>
      <c r="L38" s="26" t="s">
        <v>217</v>
      </c>
      <c r="M38" s="26" t="s">
        <v>220</v>
      </c>
      <c r="N38" s="26" t="s">
        <v>221</v>
      </c>
      <c r="O38" s="26" t="s">
        <v>208</v>
      </c>
      <c r="P38" s="27" t="s">
        <v>212</v>
      </c>
      <c r="Q38" s="2"/>
      <c r="R38" s="9" t="s">
        <v>213</v>
      </c>
    </row>
    <row r="39" spans="1:18" ht="26.5">
      <c r="A39" s="20" t="str">
        <f t="shared" ref="A39:A41" si="9">IF(J39="","RESP","")</f>
        <v>RESP</v>
      </c>
      <c r="B39" s="20" t="str">
        <f t="shared" ref="B39:B41" si="10">IF(M39="","INIT","")</f>
        <v>INIT</v>
      </c>
      <c r="C39" s="20" t="str">
        <f t="shared" ref="C39:C41" si="11">IF(AND(J39="NO",O39=""),"CMTS","")</f>
        <v/>
      </c>
      <c r="D39" s="2"/>
      <c r="E39" s="28" t="s">
        <v>233</v>
      </c>
      <c r="F39" s="33" t="s">
        <v>376</v>
      </c>
      <c r="G39" s="30" t="s">
        <v>218</v>
      </c>
      <c r="H39" s="30" t="s">
        <v>218</v>
      </c>
      <c r="I39" s="30" t="s">
        <v>218</v>
      </c>
      <c r="J39" s="30"/>
      <c r="K39" s="30" t="s">
        <v>194</v>
      </c>
      <c r="L39" s="30"/>
      <c r="M39" s="30"/>
      <c r="N39" s="30"/>
      <c r="O39" s="31"/>
      <c r="P39" s="32"/>
      <c r="Q39" s="2"/>
      <c r="R39" s="10"/>
    </row>
    <row r="40" spans="1:18" ht="26.5">
      <c r="A40" s="20" t="str">
        <f t="shared" si="9"/>
        <v>RESP</v>
      </c>
      <c r="B40" s="20" t="str">
        <f t="shared" si="10"/>
        <v>INIT</v>
      </c>
      <c r="C40" s="20" t="str">
        <f t="shared" si="11"/>
        <v/>
      </c>
      <c r="D40" s="2"/>
      <c r="E40" s="28" t="s">
        <v>237</v>
      </c>
      <c r="F40" s="33" t="s">
        <v>375</v>
      </c>
      <c r="G40" s="30" t="s">
        <v>218</v>
      </c>
      <c r="H40" s="30" t="s">
        <v>218</v>
      </c>
      <c r="I40" s="30" t="s">
        <v>218</v>
      </c>
      <c r="J40" s="30"/>
      <c r="K40" s="30" t="s">
        <v>194</v>
      </c>
      <c r="L40" s="30"/>
      <c r="M40" s="30"/>
      <c r="N40" s="30"/>
      <c r="O40" s="31"/>
      <c r="P40" s="32"/>
      <c r="Q40" s="2"/>
      <c r="R40" s="10"/>
    </row>
    <row r="41" spans="1:18" ht="39.5">
      <c r="A41" s="20" t="str">
        <f t="shared" si="9"/>
        <v>RESP</v>
      </c>
      <c r="B41" s="20" t="str">
        <f t="shared" si="10"/>
        <v>INIT</v>
      </c>
      <c r="C41" s="20" t="str">
        <f t="shared" si="11"/>
        <v/>
      </c>
      <c r="D41" s="2"/>
      <c r="E41" s="28" t="s">
        <v>238</v>
      </c>
      <c r="F41" s="33" t="s">
        <v>758</v>
      </c>
      <c r="G41" s="30" t="s">
        <v>218</v>
      </c>
      <c r="H41" s="30" t="s">
        <v>218</v>
      </c>
      <c r="I41" s="30" t="s">
        <v>218</v>
      </c>
      <c r="J41" s="30"/>
      <c r="K41" s="30" t="s">
        <v>194</v>
      </c>
      <c r="L41" s="30"/>
      <c r="M41" s="30"/>
      <c r="N41" s="30"/>
      <c r="O41" s="31"/>
      <c r="P41" s="32"/>
      <c r="Q41" s="2"/>
      <c r="R41" s="10"/>
    </row>
    <row r="42" spans="1:18">
      <c r="A42" s="20" t="str">
        <f t="shared" ref="A42" si="12">IF(J42="","RESP","")</f>
        <v>RESP</v>
      </c>
      <c r="B42" s="20" t="str">
        <f t="shared" ref="B42" si="13">IF(M42="","INIT","")</f>
        <v>INIT</v>
      </c>
      <c r="C42" s="20" t="str">
        <f t="shared" ref="C42" si="14">IF(AND(J42="NO",O42=""),"CMTS","")</f>
        <v/>
      </c>
      <c r="D42" s="2"/>
      <c r="E42" s="28" t="s">
        <v>239</v>
      </c>
      <c r="F42" s="63" t="s">
        <v>759</v>
      </c>
      <c r="G42" s="30" t="s">
        <v>218</v>
      </c>
      <c r="H42" s="30" t="s">
        <v>218</v>
      </c>
      <c r="I42" s="30" t="s">
        <v>218</v>
      </c>
      <c r="J42" s="30"/>
      <c r="K42" s="30" t="s">
        <v>194</v>
      </c>
      <c r="L42" s="30"/>
      <c r="M42" s="30"/>
      <c r="N42" s="30"/>
      <c r="O42" s="31"/>
      <c r="P42" s="32"/>
      <c r="Q42" s="2"/>
      <c r="R42" s="10"/>
    </row>
    <row r="43" spans="1:18" ht="39.5">
      <c r="A43" s="20" t="str">
        <f t="shared" ref="A43:A50" si="15">IF(J43="","RESP","")</f>
        <v>RESP</v>
      </c>
      <c r="B43" s="20" t="str">
        <f t="shared" ref="B43:B50" si="16">IF(M43="","INIT","")</f>
        <v>INIT</v>
      </c>
      <c r="C43" s="20" t="str">
        <f t="shared" ref="C43:C50" si="17">IF(AND(J43="NO",O43=""),"CMTS","")</f>
        <v/>
      </c>
      <c r="D43" s="2"/>
      <c r="E43" s="28" t="s">
        <v>240</v>
      </c>
      <c r="F43" s="33" t="s">
        <v>760</v>
      </c>
      <c r="G43" s="30" t="s">
        <v>218</v>
      </c>
      <c r="H43" s="30" t="s">
        <v>218</v>
      </c>
      <c r="I43" s="30" t="s">
        <v>218</v>
      </c>
      <c r="J43" s="30"/>
      <c r="K43" s="30" t="s">
        <v>194</v>
      </c>
      <c r="L43" s="30"/>
      <c r="M43" s="30"/>
      <c r="N43" s="30"/>
      <c r="O43" s="31"/>
      <c r="P43" s="32"/>
      <c r="Q43" s="2"/>
      <c r="R43" s="10"/>
    </row>
    <row r="44" spans="1:18">
      <c r="A44" s="20" t="str">
        <f t="shared" si="15"/>
        <v>RESP</v>
      </c>
      <c r="B44" s="20" t="str">
        <f t="shared" si="16"/>
        <v>INIT</v>
      </c>
      <c r="C44" s="20" t="str">
        <f t="shared" si="17"/>
        <v/>
      </c>
      <c r="D44" s="2"/>
      <c r="E44" s="28" t="s">
        <v>241</v>
      </c>
      <c r="F44" s="63" t="s">
        <v>761</v>
      </c>
      <c r="G44" s="30" t="s">
        <v>218</v>
      </c>
      <c r="H44" s="30" t="s">
        <v>218</v>
      </c>
      <c r="I44" s="30" t="s">
        <v>218</v>
      </c>
      <c r="J44" s="30"/>
      <c r="K44" s="30" t="s">
        <v>194</v>
      </c>
      <c r="L44" s="30"/>
      <c r="M44" s="30"/>
      <c r="N44" s="30"/>
      <c r="O44" s="31"/>
      <c r="P44" s="32"/>
      <c r="Q44" s="2"/>
      <c r="R44" s="10"/>
    </row>
    <row r="45" spans="1:18" ht="26.5">
      <c r="A45" s="20" t="str">
        <f t="shared" si="15"/>
        <v>RESP</v>
      </c>
      <c r="B45" s="20" t="str">
        <f t="shared" si="16"/>
        <v>INIT</v>
      </c>
      <c r="C45" s="20" t="str">
        <f t="shared" si="17"/>
        <v/>
      </c>
      <c r="D45" s="2"/>
      <c r="E45" s="28" t="s">
        <v>242</v>
      </c>
      <c r="F45" s="33" t="s">
        <v>762</v>
      </c>
      <c r="G45" s="30" t="s">
        <v>218</v>
      </c>
      <c r="H45" s="30" t="s">
        <v>218</v>
      </c>
      <c r="I45" s="30" t="s">
        <v>218</v>
      </c>
      <c r="J45" s="30"/>
      <c r="K45" s="30" t="s">
        <v>194</v>
      </c>
      <c r="L45" s="30"/>
      <c r="M45" s="30"/>
      <c r="N45" s="30"/>
      <c r="O45" s="31"/>
      <c r="P45" s="32"/>
      <c r="Q45" s="2"/>
      <c r="R45" s="10"/>
    </row>
    <row r="46" spans="1:18">
      <c r="A46" s="20" t="str">
        <f t="shared" ref="A46" si="18">IF(J46="","RESP","")</f>
        <v>RESP</v>
      </c>
      <c r="B46" s="20" t="str">
        <f t="shared" ref="B46" si="19">IF(M46="","INIT","")</f>
        <v>INIT</v>
      </c>
      <c r="C46" s="20" t="str">
        <f t="shared" ref="C46" si="20">IF(AND(J46="NO",O46=""),"CMTS","")</f>
        <v/>
      </c>
      <c r="D46" s="2"/>
      <c r="E46" s="28" t="s">
        <v>243</v>
      </c>
      <c r="F46" s="63" t="s">
        <v>763</v>
      </c>
      <c r="G46" s="30" t="s">
        <v>218</v>
      </c>
      <c r="H46" s="30" t="s">
        <v>218</v>
      </c>
      <c r="I46" s="30" t="s">
        <v>218</v>
      </c>
      <c r="J46" s="30"/>
      <c r="K46" s="30" t="s">
        <v>194</v>
      </c>
      <c r="L46" s="30"/>
      <c r="M46" s="30"/>
      <c r="N46" s="30"/>
      <c r="O46" s="31"/>
      <c r="P46" s="32"/>
      <c r="Q46" s="2"/>
      <c r="R46" s="10"/>
    </row>
    <row r="47" spans="1:18" ht="26.5">
      <c r="A47" s="20" t="str">
        <f t="shared" si="15"/>
        <v>RESP</v>
      </c>
      <c r="B47" s="20" t="str">
        <f t="shared" si="16"/>
        <v>INIT</v>
      </c>
      <c r="C47" s="20" t="str">
        <f t="shared" si="17"/>
        <v/>
      </c>
      <c r="D47" s="2"/>
      <c r="E47" s="28" t="s">
        <v>244</v>
      </c>
      <c r="F47" s="33" t="s">
        <v>764</v>
      </c>
      <c r="G47" s="30" t="s">
        <v>218</v>
      </c>
      <c r="H47" s="30" t="s">
        <v>218</v>
      </c>
      <c r="I47" s="30" t="s">
        <v>218</v>
      </c>
      <c r="J47" s="30"/>
      <c r="K47" s="30" t="s">
        <v>194</v>
      </c>
      <c r="L47" s="30"/>
      <c r="M47" s="30"/>
      <c r="N47" s="30"/>
      <c r="O47" s="31"/>
      <c r="P47" s="32"/>
      <c r="Q47" s="2"/>
      <c r="R47" s="10"/>
    </row>
    <row r="48" spans="1:18">
      <c r="A48" s="20" t="str">
        <f t="shared" si="15"/>
        <v>RESP</v>
      </c>
      <c r="B48" s="20" t="str">
        <f t="shared" si="16"/>
        <v>INIT</v>
      </c>
      <c r="C48" s="20" t="str">
        <f t="shared" si="17"/>
        <v/>
      </c>
      <c r="D48" s="2"/>
      <c r="E48" s="28" t="s">
        <v>245</v>
      </c>
      <c r="F48" s="63" t="s">
        <v>765</v>
      </c>
      <c r="G48" s="30" t="s">
        <v>218</v>
      </c>
      <c r="H48" s="30" t="s">
        <v>218</v>
      </c>
      <c r="I48" s="30" t="s">
        <v>218</v>
      </c>
      <c r="J48" s="30"/>
      <c r="K48" s="30" t="s">
        <v>194</v>
      </c>
      <c r="L48" s="30"/>
      <c r="M48" s="30"/>
      <c r="N48" s="30"/>
      <c r="O48" s="31"/>
      <c r="P48" s="32"/>
      <c r="Q48" s="2"/>
      <c r="R48" s="10"/>
    </row>
    <row r="49" spans="1:18" ht="26.5">
      <c r="A49" s="20" t="str">
        <f t="shared" si="15"/>
        <v>RESP</v>
      </c>
      <c r="B49" s="20" t="str">
        <f t="shared" si="16"/>
        <v>INIT</v>
      </c>
      <c r="C49" s="20" t="str">
        <f t="shared" si="17"/>
        <v/>
      </c>
      <c r="D49" s="2"/>
      <c r="E49" s="28" t="s">
        <v>246</v>
      </c>
      <c r="F49" s="33" t="s">
        <v>378</v>
      </c>
      <c r="G49" s="30" t="s">
        <v>218</v>
      </c>
      <c r="H49" s="30" t="s">
        <v>218</v>
      </c>
      <c r="I49" s="30" t="s">
        <v>218</v>
      </c>
      <c r="J49" s="30"/>
      <c r="K49" s="30" t="s">
        <v>194</v>
      </c>
      <c r="L49" s="30"/>
      <c r="M49" s="30"/>
      <c r="N49" s="30"/>
      <c r="O49" s="31"/>
      <c r="P49" s="32"/>
      <c r="Q49" s="2"/>
      <c r="R49" s="10"/>
    </row>
    <row r="50" spans="1:18" ht="26.5">
      <c r="A50" s="20" t="str">
        <f t="shared" si="15"/>
        <v>RESP</v>
      </c>
      <c r="B50" s="20" t="str">
        <f t="shared" si="16"/>
        <v>INIT</v>
      </c>
      <c r="C50" s="20" t="str">
        <f t="shared" si="17"/>
        <v/>
      </c>
      <c r="D50" s="2"/>
      <c r="E50" s="28" t="s">
        <v>247</v>
      </c>
      <c r="F50" s="33" t="s">
        <v>377</v>
      </c>
      <c r="G50" s="30" t="s">
        <v>218</v>
      </c>
      <c r="H50" s="30" t="s">
        <v>218</v>
      </c>
      <c r="I50" s="30" t="s">
        <v>218</v>
      </c>
      <c r="J50" s="30"/>
      <c r="K50" s="30" t="s">
        <v>194</v>
      </c>
      <c r="L50" s="30"/>
      <c r="M50" s="30"/>
      <c r="N50" s="30"/>
      <c r="O50" s="31"/>
      <c r="P50" s="32"/>
      <c r="Q50" s="2"/>
      <c r="R50" s="10"/>
    </row>
    <row r="51" spans="1:18" ht="26.5">
      <c r="A51" s="20" t="str">
        <f t="shared" ref="A51" si="21">IF(J51="","RESP","")</f>
        <v>RESP</v>
      </c>
      <c r="B51" s="20" t="str">
        <f t="shared" ref="B51" si="22">IF(M51="","INIT","")</f>
        <v>INIT</v>
      </c>
      <c r="C51" s="20" t="str">
        <f t="shared" ref="C51" si="23">IF(AND(J51="NO",O51=""),"CMTS","")</f>
        <v/>
      </c>
      <c r="D51" s="2"/>
      <c r="E51" s="28" t="s">
        <v>248</v>
      </c>
      <c r="F51" s="33" t="s">
        <v>379</v>
      </c>
      <c r="G51" s="30" t="s">
        <v>218</v>
      </c>
      <c r="H51" s="30" t="s">
        <v>218</v>
      </c>
      <c r="I51" s="30" t="s">
        <v>218</v>
      </c>
      <c r="J51" s="30"/>
      <c r="K51" s="30" t="s">
        <v>194</v>
      </c>
      <c r="L51" s="30"/>
      <c r="M51" s="30"/>
      <c r="N51" s="30"/>
      <c r="O51" s="31"/>
      <c r="P51" s="32"/>
      <c r="Q51" s="2"/>
      <c r="R51" s="10"/>
    </row>
    <row r="52" spans="1:18" ht="26.5">
      <c r="A52" s="20" t="str">
        <f t="shared" ref="A52:A53" si="24">IF(J52="","RESP","")</f>
        <v>RESP</v>
      </c>
      <c r="B52" s="20" t="str">
        <f t="shared" ref="B52:B53" si="25">IF(M52="","INIT","")</f>
        <v>INIT</v>
      </c>
      <c r="C52" s="20" t="str">
        <f t="shared" ref="C52:C53" si="26">IF(AND(J52="NO",O52=""),"CMTS","")</f>
        <v/>
      </c>
      <c r="D52" s="2"/>
      <c r="E52" s="28" t="s">
        <v>766</v>
      </c>
      <c r="F52" s="33" t="s">
        <v>380</v>
      </c>
      <c r="G52" s="30" t="s">
        <v>218</v>
      </c>
      <c r="H52" s="30" t="s">
        <v>218</v>
      </c>
      <c r="I52" s="30" t="s">
        <v>218</v>
      </c>
      <c r="J52" s="30"/>
      <c r="K52" s="30" t="s">
        <v>194</v>
      </c>
      <c r="L52" s="30"/>
      <c r="M52" s="30"/>
      <c r="N52" s="30"/>
      <c r="O52" s="31"/>
      <c r="P52" s="32"/>
      <c r="Q52" s="2"/>
      <c r="R52" s="10"/>
    </row>
    <row r="53" spans="1:18" ht="26.5">
      <c r="A53" s="20" t="str">
        <f t="shared" si="24"/>
        <v>RESP</v>
      </c>
      <c r="B53" s="20" t="str">
        <f t="shared" si="25"/>
        <v>INIT</v>
      </c>
      <c r="C53" s="20" t="str">
        <f t="shared" si="26"/>
        <v/>
      </c>
      <c r="D53" s="2"/>
      <c r="E53" s="28" t="s">
        <v>767</v>
      </c>
      <c r="F53" s="33" t="s">
        <v>381</v>
      </c>
      <c r="G53" s="30" t="s">
        <v>218</v>
      </c>
      <c r="H53" s="30" t="s">
        <v>218</v>
      </c>
      <c r="I53" s="30" t="s">
        <v>218</v>
      </c>
      <c r="J53" s="30"/>
      <c r="K53" s="30" t="s">
        <v>194</v>
      </c>
      <c r="L53" s="30"/>
      <c r="M53" s="30"/>
      <c r="N53" s="30"/>
      <c r="O53" s="31"/>
      <c r="P53" s="32"/>
      <c r="Q53" s="2"/>
      <c r="R53" s="10"/>
    </row>
    <row r="54" spans="1:18" ht="26.5">
      <c r="A54" s="20" t="str">
        <f t="shared" ref="A54" si="27">IF(J54="","RESP","")</f>
        <v>RESP</v>
      </c>
      <c r="B54" s="20" t="str">
        <f t="shared" ref="B54" si="28">IF(M54="","INIT","")</f>
        <v>INIT</v>
      </c>
      <c r="C54" s="20" t="str">
        <f t="shared" ref="C54" si="29">IF(AND(J54="NO",O54=""),"CMTS","")</f>
        <v/>
      </c>
      <c r="D54" s="2"/>
      <c r="E54" s="28" t="s">
        <v>768</v>
      </c>
      <c r="F54" s="33" t="s">
        <v>382</v>
      </c>
      <c r="G54" s="30" t="s">
        <v>218</v>
      </c>
      <c r="H54" s="30" t="s">
        <v>218</v>
      </c>
      <c r="I54" s="30" t="s">
        <v>218</v>
      </c>
      <c r="J54" s="30"/>
      <c r="K54" s="30" t="s">
        <v>194</v>
      </c>
      <c r="L54" s="30"/>
      <c r="M54" s="30"/>
      <c r="N54" s="30"/>
      <c r="O54" s="31"/>
      <c r="P54" s="32"/>
      <c r="Q54" s="2"/>
      <c r="R54" s="10"/>
    </row>
    <row r="55" spans="1:18">
      <c r="A55" s="56"/>
      <c r="B55" s="57"/>
      <c r="C55" s="57"/>
      <c r="D55" s="17"/>
      <c r="E55" s="17"/>
      <c r="F55" s="17"/>
      <c r="G55" s="17"/>
      <c r="H55" s="17"/>
      <c r="I55" s="17"/>
      <c r="J55" s="17"/>
      <c r="K55" s="17"/>
      <c r="L55" s="17"/>
      <c r="M55" s="17"/>
      <c r="N55" s="17"/>
      <c r="O55" s="17"/>
      <c r="P55" s="18"/>
      <c r="Q55" s="17"/>
      <c r="R55" s="19"/>
    </row>
    <row r="56" spans="1:18">
      <c r="A56" s="56"/>
      <c r="B56" s="57"/>
      <c r="C56" s="57"/>
      <c r="D56" s="17"/>
      <c r="E56" s="17"/>
      <c r="F56" s="17"/>
      <c r="G56" s="17"/>
      <c r="H56" s="17"/>
      <c r="I56" s="17"/>
      <c r="J56" s="17"/>
      <c r="K56" s="17"/>
      <c r="L56" s="17"/>
      <c r="M56" s="17"/>
      <c r="N56" s="17"/>
      <c r="O56" s="17"/>
      <c r="P56" s="18"/>
      <c r="Q56" s="17"/>
      <c r="R56" s="19"/>
    </row>
    <row r="57" spans="1:18" ht="27.5">
      <c r="A57" s="12" t="s">
        <v>210</v>
      </c>
      <c r="B57" s="13"/>
      <c r="C57" s="13"/>
      <c r="D57" s="2"/>
      <c r="E57" s="24" t="s">
        <v>390</v>
      </c>
      <c r="F57" s="25"/>
      <c r="G57" s="26" t="s">
        <v>214</v>
      </c>
      <c r="H57" s="26" t="s">
        <v>215</v>
      </c>
      <c r="I57" s="26" t="s">
        <v>219</v>
      </c>
      <c r="J57" s="26" t="s">
        <v>211</v>
      </c>
      <c r="K57" s="26" t="s">
        <v>216</v>
      </c>
      <c r="L57" s="26" t="s">
        <v>217</v>
      </c>
      <c r="M57" s="26" t="s">
        <v>220</v>
      </c>
      <c r="N57" s="26" t="s">
        <v>221</v>
      </c>
      <c r="O57" s="26" t="s">
        <v>208</v>
      </c>
      <c r="P57" s="27" t="s">
        <v>212</v>
      </c>
      <c r="Q57" s="2"/>
      <c r="R57" s="9" t="s">
        <v>213</v>
      </c>
    </row>
    <row r="58" spans="1:18">
      <c r="A58" s="20" t="str">
        <f t="shared" ref="A58:A63" si="30">IF(J58="","RESP","")</f>
        <v>RESP</v>
      </c>
      <c r="B58" s="20" t="str">
        <f t="shared" ref="B58:B63" si="31">IF(M58="","INIT","")</f>
        <v>INIT</v>
      </c>
      <c r="C58" s="20" t="str">
        <f t="shared" ref="C58:C63" si="32">IF(AND(J58="NO",O58=""),"CMTS","")</f>
        <v/>
      </c>
      <c r="D58" s="2"/>
      <c r="E58" s="28" t="s">
        <v>259</v>
      </c>
      <c r="F58" s="33" t="s">
        <v>386</v>
      </c>
      <c r="G58" s="30" t="s">
        <v>218</v>
      </c>
      <c r="H58" s="30" t="s">
        <v>218</v>
      </c>
      <c r="I58" s="30" t="s">
        <v>218</v>
      </c>
      <c r="J58" s="30"/>
      <c r="K58" s="30" t="s">
        <v>194</v>
      </c>
      <c r="L58" s="30"/>
      <c r="M58" s="30"/>
      <c r="N58" s="30"/>
      <c r="O58" s="31"/>
      <c r="P58" s="32"/>
      <c r="Q58" s="2"/>
      <c r="R58" s="10"/>
    </row>
    <row r="59" spans="1:18">
      <c r="A59" s="20" t="str">
        <f t="shared" si="30"/>
        <v>RESP</v>
      </c>
      <c r="B59" s="20" t="str">
        <f t="shared" si="31"/>
        <v>INIT</v>
      </c>
      <c r="C59" s="20" t="str">
        <f t="shared" si="32"/>
        <v/>
      </c>
      <c r="D59" s="2"/>
      <c r="E59" s="28" t="s">
        <v>260</v>
      </c>
      <c r="F59" s="33" t="s">
        <v>385</v>
      </c>
      <c r="G59" s="30" t="s">
        <v>218</v>
      </c>
      <c r="H59" s="30" t="s">
        <v>218</v>
      </c>
      <c r="I59" s="30" t="s">
        <v>218</v>
      </c>
      <c r="J59" s="30"/>
      <c r="K59" s="30" t="s">
        <v>194</v>
      </c>
      <c r="L59" s="30"/>
      <c r="M59" s="30"/>
      <c r="N59" s="30"/>
      <c r="O59" s="31"/>
      <c r="P59" s="32"/>
      <c r="Q59" s="2"/>
      <c r="R59" s="10"/>
    </row>
    <row r="60" spans="1:18">
      <c r="A60" s="20" t="str">
        <f t="shared" si="30"/>
        <v>RESP</v>
      </c>
      <c r="B60" s="20" t="str">
        <f t="shared" si="31"/>
        <v>INIT</v>
      </c>
      <c r="C60" s="20" t="str">
        <f t="shared" si="32"/>
        <v/>
      </c>
      <c r="D60" s="2"/>
      <c r="E60" s="28" t="s">
        <v>261</v>
      </c>
      <c r="F60" s="33" t="s">
        <v>384</v>
      </c>
      <c r="G60" s="30" t="s">
        <v>218</v>
      </c>
      <c r="H60" s="30" t="s">
        <v>218</v>
      </c>
      <c r="I60" s="30" t="s">
        <v>218</v>
      </c>
      <c r="J60" s="30"/>
      <c r="K60" s="30" t="s">
        <v>194</v>
      </c>
      <c r="L60" s="30"/>
      <c r="M60" s="30"/>
      <c r="N60" s="30"/>
      <c r="O60" s="31"/>
      <c r="P60" s="32"/>
      <c r="Q60" s="2"/>
      <c r="R60" s="10"/>
    </row>
    <row r="61" spans="1:18">
      <c r="A61" s="20" t="str">
        <f t="shared" si="30"/>
        <v>RESP</v>
      </c>
      <c r="B61" s="20" t="str">
        <f t="shared" si="31"/>
        <v>INIT</v>
      </c>
      <c r="C61" s="20" t="str">
        <f t="shared" si="32"/>
        <v/>
      </c>
      <c r="D61" s="2"/>
      <c r="E61" s="28" t="s">
        <v>262</v>
      </c>
      <c r="F61" s="33" t="s">
        <v>383</v>
      </c>
      <c r="G61" s="30" t="s">
        <v>218</v>
      </c>
      <c r="H61" s="30" t="s">
        <v>218</v>
      </c>
      <c r="I61" s="30" t="s">
        <v>218</v>
      </c>
      <c r="J61" s="30"/>
      <c r="K61" s="30" t="s">
        <v>194</v>
      </c>
      <c r="L61" s="30"/>
      <c r="M61" s="30"/>
      <c r="N61" s="30"/>
      <c r="O61" s="31"/>
      <c r="P61" s="32"/>
      <c r="Q61" s="2"/>
      <c r="R61" s="10"/>
    </row>
    <row r="62" spans="1:18">
      <c r="A62" s="20" t="str">
        <f t="shared" si="30"/>
        <v>RESP</v>
      </c>
      <c r="B62" s="20" t="str">
        <f t="shared" si="31"/>
        <v>INIT</v>
      </c>
      <c r="C62" s="20" t="str">
        <f t="shared" si="32"/>
        <v/>
      </c>
      <c r="D62" s="2"/>
      <c r="E62" s="28" t="s">
        <v>263</v>
      </c>
      <c r="F62" s="33" t="s">
        <v>387</v>
      </c>
      <c r="G62" s="30" t="s">
        <v>218</v>
      </c>
      <c r="H62" s="30" t="s">
        <v>218</v>
      </c>
      <c r="I62" s="30" t="s">
        <v>218</v>
      </c>
      <c r="J62" s="30"/>
      <c r="K62" s="30" t="s">
        <v>194</v>
      </c>
      <c r="L62" s="30"/>
      <c r="M62" s="30"/>
      <c r="N62" s="30"/>
      <c r="O62" s="31"/>
      <c r="P62" s="32"/>
      <c r="Q62" s="2"/>
      <c r="R62" s="10"/>
    </row>
    <row r="63" spans="1:18">
      <c r="A63" s="20" t="str">
        <f t="shared" si="30"/>
        <v>RESP</v>
      </c>
      <c r="B63" s="20" t="str">
        <f t="shared" si="31"/>
        <v>INIT</v>
      </c>
      <c r="C63" s="20" t="str">
        <f t="shared" si="32"/>
        <v/>
      </c>
      <c r="D63" s="2"/>
      <c r="E63" s="28" t="s">
        <v>264</v>
      </c>
      <c r="F63" s="33" t="s">
        <v>388</v>
      </c>
      <c r="G63" s="30" t="s">
        <v>218</v>
      </c>
      <c r="H63" s="30" t="s">
        <v>218</v>
      </c>
      <c r="I63" s="30" t="s">
        <v>218</v>
      </c>
      <c r="J63" s="30"/>
      <c r="K63" s="30" t="s">
        <v>194</v>
      </c>
      <c r="L63" s="30"/>
      <c r="M63" s="30"/>
      <c r="N63" s="30"/>
      <c r="O63" s="31"/>
      <c r="P63" s="32"/>
      <c r="Q63" s="2"/>
      <c r="R63" s="10"/>
    </row>
    <row r="64" spans="1:18">
      <c r="A64" s="56"/>
      <c r="B64" s="57"/>
      <c r="C64" s="57"/>
      <c r="D64" s="17"/>
      <c r="E64" s="17"/>
      <c r="F64" s="17"/>
      <c r="G64" s="17"/>
      <c r="H64" s="17"/>
      <c r="I64" s="17"/>
      <c r="J64" s="17"/>
      <c r="K64" s="17"/>
      <c r="L64" s="17"/>
      <c r="M64" s="17"/>
      <c r="N64" s="17"/>
      <c r="O64" s="17"/>
      <c r="P64" s="18"/>
      <c r="Q64" s="17"/>
      <c r="R64" s="19"/>
    </row>
    <row r="65" spans="1:18">
      <c r="A65" s="4"/>
      <c r="B65" s="4"/>
      <c r="C65" s="4"/>
      <c r="D65" s="17"/>
      <c r="E65" s="17"/>
      <c r="F65" s="17"/>
      <c r="G65" s="17"/>
      <c r="H65" s="17"/>
      <c r="I65" s="17"/>
      <c r="J65" s="17"/>
      <c r="K65" s="17"/>
      <c r="L65" s="17"/>
      <c r="M65" s="17"/>
      <c r="N65" s="17"/>
      <c r="O65" s="17"/>
      <c r="P65" s="1"/>
      <c r="Q65" s="17"/>
      <c r="R65" s="19"/>
    </row>
    <row r="66" spans="1:18" ht="27.5">
      <c r="A66" s="12" t="s">
        <v>210</v>
      </c>
      <c r="B66" s="13"/>
      <c r="C66" s="13"/>
      <c r="D66" s="2"/>
      <c r="E66" s="24" t="s">
        <v>650</v>
      </c>
      <c r="F66" s="34"/>
      <c r="G66" s="26" t="s">
        <v>214</v>
      </c>
      <c r="H66" s="26" t="s">
        <v>215</v>
      </c>
      <c r="I66" s="26" t="s">
        <v>219</v>
      </c>
      <c r="J66" s="26" t="s">
        <v>211</v>
      </c>
      <c r="K66" s="26" t="s">
        <v>216</v>
      </c>
      <c r="L66" s="26" t="s">
        <v>217</v>
      </c>
      <c r="M66" s="26" t="s">
        <v>220</v>
      </c>
      <c r="N66" s="26" t="s">
        <v>221</v>
      </c>
      <c r="O66" s="26" t="s">
        <v>208</v>
      </c>
      <c r="P66" s="27" t="s">
        <v>249</v>
      </c>
      <c r="Q66" s="2"/>
      <c r="R66" s="9" t="s">
        <v>213</v>
      </c>
    </row>
    <row r="67" spans="1:18">
      <c r="A67" s="20" t="str">
        <f t="shared" ref="A67:A77" si="33">IF(J67="","RESP","")</f>
        <v>RESP</v>
      </c>
      <c r="B67" s="20" t="str">
        <f t="shared" ref="B67:B77" si="34">IF(M67="","INIT","")</f>
        <v>INIT</v>
      </c>
      <c r="C67" s="20" t="str">
        <f t="shared" ref="C67:C77" si="35">IF(AND(J67="NO",O67=""),"CMTS","")</f>
        <v/>
      </c>
      <c r="D67" s="5"/>
      <c r="E67" s="28" t="s">
        <v>265</v>
      </c>
      <c r="F67" s="33" t="s">
        <v>608</v>
      </c>
      <c r="G67" s="30" t="s">
        <v>218</v>
      </c>
      <c r="H67" s="30" t="s">
        <v>624</v>
      </c>
      <c r="I67" s="30" t="s">
        <v>218</v>
      </c>
      <c r="J67" s="30"/>
      <c r="K67" s="30" t="s">
        <v>144</v>
      </c>
      <c r="L67" s="30"/>
      <c r="M67" s="30"/>
      <c r="N67" s="30"/>
      <c r="O67" s="31"/>
      <c r="P67" s="32"/>
      <c r="Q67" s="5"/>
      <c r="R67" s="10"/>
    </row>
    <row r="68" spans="1:18">
      <c r="A68" s="20" t="str">
        <f t="shared" si="33"/>
        <v>RESP</v>
      </c>
      <c r="B68" s="20" t="str">
        <f t="shared" si="34"/>
        <v>INIT</v>
      </c>
      <c r="C68" s="20" t="str">
        <f t="shared" si="35"/>
        <v/>
      </c>
      <c r="D68" s="5"/>
      <c r="E68" s="28" t="s">
        <v>266</v>
      </c>
      <c r="F68" s="33" t="s">
        <v>609</v>
      </c>
      <c r="G68" s="30" t="s">
        <v>218</v>
      </c>
      <c r="H68" s="30" t="s">
        <v>624</v>
      </c>
      <c r="I68" s="30" t="s">
        <v>218</v>
      </c>
      <c r="J68" s="30"/>
      <c r="K68" s="30" t="s">
        <v>144</v>
      </c>
      <c r="L68" s="30"/>
      <c r="M68" s="30"/>
      <c r="N68" s="30"/>
      <c r="O68" s="31"/>
      <c r="P68" s="32"/>
      <c r="Q68" s="5"/>
      <c r="R68" s="10"/>
    </row>
    <row r="69" spans="1:18">
      <c r="A69" s="20" t="str">
        <f t="shared" si="33"/>
        <v>RESP</v>
      </c>
      <c r="B69" s="20" t="str">
        <f t="shared" si="34"/>
        <v>INIT</v>
      </c>
      <c r="C69" s="20" t="str">
        <f t="shared" si="35"/>
        <v/>
      </c>
      <c r="D69" s="5"/>
      <c r="E69" s="28" t="s">
        <v>267</v>
      </c>
      <c r="F69" s="33" t="s">
        <v>610</v>
      </c>
      <c r="G69" s="30" t="s">
        <v>218</v>
      </c>
      <c r="H69" s="30" t="s">
        <v>624</v>
      </c>
      <c r="I69" s="30" t="s">
        <v>218</v>
      </c>
      <c r="J69" s="30"/>
      <c r="K69" s="30" t="s">
        <v>144</v>
      </c>
      <c r="L69" s="30"/>
      <c r="M69" s="30"/>
      <c r="N69" s="30"/>
      <c r="O69" s="31"/>
      <c r="P69" s="32"/>
      <c r="Q69" s="5"/>
      <c r="R69" s="10"/>
    </row>
    <row r="70" spans="1:18">
      <c r="A70" s="20" t="str">
        <f t="shared" si="33"/>
        <v>RESP</v>
      </c>
      <c r="B70" s="20" t="str">
        <f t="shared" si="34"/>
        <v>INIT</v>
      </c>
      <c r="C70" s="20" t="str">
        <f t="shared" si="35"/>
        <v/>
      </c>
      <c r="D70" s="5"/>
      <c r="E70" s="28" t="s">
        <v>268</v>
      </c>
      <c r="F70" s="33" t="s">
        <v>611</v>
      </c>
      <c r="G70" s="30" t="s">
        <v>218</v>
      </c>
      <c r="H70" s="30" t="s">
        <v>624</v>
      </c>
      <c r="I70" s="30" t="s">
        <v>218</v>
      </c>
      <c r="J70" s="30"/>
      <c r="K70" s="30" t="s">
        <v>144</v>
      </c>
      <c r="L70" s="30"/>
      <c r="M70" s="30"/>
      <c r="N70" s="30"/>
      <c r="O70" s="31"/>
      <c r="P70" s="32"/>
      <c r="Q70" s="5"/>
      <c r="R70" s="10"/>
    </row>
    <row r="71" spans="1:18">
      <c r="A71" s="20" t="str">
        <f t="shared" si="33"/>
        <v>RESP</v>
      </c>
      <c r="B71" s="20" t="str">
        <f t="shared" si="34"/>
        <v>INIT</v>
      </c>
      <c r="C71" s="20" t="str">
        <f t="shared" si="35"/>
        <v/>
      </c>
      <c r="D71" s="5"/>
      <c r="E71" s="28" t="s">
        <v>269</v>
      </c>
      <c r="F71" s="33" t="s">
        <v>612</v>
      </c>
      <c r="G71" s="30" t="s">
        <v>218</v>
      </c>
      <c r="H71" s="30" t="s">
        <v>624</v>
      </c>
      <c r="I71" s="30" t="s">
        <v>218</v>
      </c>
      <c r="J71" s="30"/>
      <c r="K71" s="30" t="s">
        <v>144</v>
      </c>
      <c r="L71" s="30"/>
      <c r="M71" s="30"/>
      <c r="N71" s="30"/>
      <c r="O71" s="31"/>
      <c r="P71" s="32"/>
      <c r="Q71" s="5"/>
      <c r="R71" s="10"/>
    </row>
    <row r="72" spans="1:18">
      <c r="A72" s="20" t="str">
        <f t="shared" si="33"/>
        <v>RESP</v>
      </c>
      <c r="B72" s="20" t="str">
        <f t="shared" si="34"/>
        <v>INIT</v>
      </c>
      <c r="C72" s="20" t="str">
        <f t="shared" si="35"/>
        <v/>
      </c>
      <c r="D72" s="5"/>
      <c r="E72" s="28" t="s">
        <v>270</v>
      </c>
      <c r="F72" s="33" t="s">
        <v>613</v>
      </c>
      <c r="G72" s="30" t="s">
        <v>218</v>
      </c>
      <c r="H72" s="30" t="s">
        <v>624</v>
      </c>
      <c r="I72" s="30" t="s">
        <v>218</v>
      </c>
      <c r="J72" s="30"/>
      <c r="K72" s="30" t="s">
        <v>144</v>
      </c>
      <c r="L72" s="30"/>
      <c r="M72" s="30"/>
      <c r="N72" s="30"/>
      <c r="O72" s="31"/>
      <c r="P72" s="32"/>
      <c r="Q72" s="5"/>
      <c r="R72" s="10"/>
    </row>
    <row r="73" spans="1:18">
      <c r="A73" s="20" t="str">
        <f t="shared" si="33"/>
        <v>RESP</v>
      </c>
      <c r="B73" s="20" t="str">
        <f t="shared" si="34"/>
        <v>INIT</v>
      </c>
      <c r="C73" s="20" t="str">
        <f t="shared" si="35"/>
        <v/>
      </c>
      <c r="D73" s="5"/>
      <c r="E73" s="28" t="s">
        <v>619</v>
      </c>
      <c r="F73" s="33" t="s">
        <v>614</v>
      </c>
      <c r="G73" s="30" t="s">
        <v>218</v>
      </c>
      <c r="H73" s="30" t="s">
        <v>624</v>
      </c>
      <c r="I73" s="30" t="s">
        <v>218</v>
      </c>
      <c r="J73" s="30"/>
      <c r="K73" s="30" t="s">
        <v>144</v>
      </c>
      <c r="L73" s="30"/>
      <c r="M73" s="30"/>
      <c r="N73" s="30"/>
      <c r="O73" s="31"/>
      <c r="P73" s="32"/>
      <c r="Q73" s="5"/>
      <c r="R73" s="10"/>
    </row>
    <row r="74" spans="1:18" ht="26.5">
      <c r="A74" s="20" t="str">
        <f t="shared" si="33"/>
        <v>RESP</v>
      </c>
      <c r="B74" s="20" t="str">
        <f t="shared" si="34"/>
        <v>INIT</v>
      </c>
      <c r="C74" s="20" t="str">
        <f t="shared" si="35"/>
        <v/>
      </c>
      <c r="D74" s="5"/>
      <c r="E74" s="28" t="s">
        <v>620</v>
      </c>
      <c r="F74" s="33" t="s">
        <v>615</v>
      </c>
      <c r="G74" s="30" t="s">
        <v>218</v>
      </c>
      <c r="H74" s="30" t="s">
        <v>624</v>
      </c>
      <c r="I74" s="30" t="s">
        <v>218</v>
      </c>
      <c r="J74" s="30"/>
      <c r="K74" s="30" t="s">
        <v>144</v>
      </c>
      <c r="L74" s="30"/>
      <c r="M74" s="30"/>
      <c r="N74" s="30"/>
      <c r="O74" s="31"/>
      <c r="P74" s="32"/>
      <c r="Q74" s="5"/>
      <c r="R74" s="33" t="s">
        <v>647</v>
      </c>
    </row>
    <row r="75" spans="1:18" ht="26.5">
      <c r="A75" s="20" t="str">
        <f t="shared" si="33"/>
        <v>RESP</v>
      </c>
      <c r="B75" s="20" t="str">
        <f t="shared" si="34"/>
        <v>INIT</v>
      </c>
      <c r="C75" s="20" t="str">
        <f t="shared" si="35"/>
        <v/>
      </c>
      <c r="D75" s="5"/>
      <c r="E75" s="28" t="s">
        <v>621</v>
      </c>
      <c r="F75" s="33" t="s">
        <v>616</v>
      </c>
      <c r="G75" s="30" t="s">
        <v>218</v>
      </c>
      <c r="H75" s="30" t="s">
        <v>624</v>
      </c>
      <c r="I75" s="30" t="s">
        <v>218</v>
      </c>
      <c r="J75" s="30"/>
      <c r="K75" s="30" t="s">
        <v>144</v>
      </c>
      <c r="L75" s="30"/>
      <c r="M75" s="30"/>
      <c r="N75" s="30"/>
      <c r="O75" s="31"/>
      <c r="P75" s="32"/>
      <c r="Q75" s="5"/>
      <c r="R75" s="33" t="s">
        <v>647</v>
      </c>
    </row>
    <row r="76" spans="1:18" ht="26.5">
      <c r="A76" s="20" t="str">
        <f t="shared" si="33"/>
        <v>RESP</v>
      </c>
      <c r="B76" s="20" t="str">
        <f t="shared" si="34"/>
        <v>INIT</v>
      </c>
      <c r="C76" s="20" t="str">
        <f t="shared" si="35"/>
        <v/>
      </c>
      <c r="D76" s="5"/>
      <c r="E76" s="28" t="s">
        <v>622</v>
      </c>
      <c r="F76" s="33" t="s">
        <v>617</v>
      </c>
      <c r="G76" s="30" t="s">
        <v>218</v>
      </c>
      <c r="H76" s="30" t="s">
        <v>624</v>
      </c>
      <c r="I76" s="30" t="s">
        <v>218</v>
      </c>
      <c r="J76" s="30"/>
      <c r="K76" s="30" t="s">
        <v>144</v>
      </c>
      <c r="L76" s="30"/>
      <c r="M76" s="30"/>
      <c r="N76" s="30"/>
      <c r="O76" s="31"/>
      <c r="P76" s="32"/>
      <c r="Q76" s="5"/>
      <c r="R76" s="33" t="s">
        <v>648</v>
      </c>
    </row>
    <row r="77" spans="1:18">
      <c r="A77" s="20" t="str">
        <f t="shared" si="33"/>
        <v>RESP</v>
      </c>
      <c r="B77" s="20" t="str">
        <f t="shared" si="34"/>
        <v>INIT</v>
      </c>
      <c r="C77" s="20" t="str">
        <f t="shared" si="35"/>
        <v/>
      </c>
      <c r="D77" s="5"/>
      <c r="E77" s="28" t="s">
        <v>623</v>
      </c>
      <c r="F77" s="33" t="s">
        <v>618</v>
      </c>
      <c r="G77" s="30" t="s">
        <v>218</v>
      </c>
      <c r="H77" s="30" t="s">
        <v>624</v>
      </c>
      <c r="I77" s="30" t="s">
        <v>218</v>
      </c>
      <c r="J77" s="30"/>
      <c r="K77" s="30" t="s">
        <v>144</v>
      </c>
      <c r="L77" s="30"/>
      <c r="M77" s="30"/>
      <c r="N77" s="30"/>
      <c r="O77" s="31"/>
      <c r="P77" s="32"/>
      <c r="Q77" s="5"/>
      <c r="R77" s="33" t="s">
        <v>649</v>
      </c>
    </row>
    <row r="78" spans="1:18">
      <c r="A78" s="4"/>
      <c r="B78" s="4"/>
      <c r="C78" s="4"/>
      <c r="D78" s="17"/>
      <c r="E78" s="17"/>
      <c r="F78" s="17"/>
      <c r="G78" s="17"/>
      <c r="H78" s="17"/>
      <c r="I78" s="17"/>
      <c r="J78" s="17"/>
      <c r="K78" s="17"/>
      <c r="L78" s="17"/>
      <c r="M78" s="17"/>
      <c r="N78" s="17"/>
      <c r="O78" s="17"/>
      <c r="P78" s="1"/>
      <c r="Q78" s="17"/>
      <c r="R78" s="19"/>
    </row>
    <row r="79" spans="1:18">
      <c r="A79" s="4"/>
      <c r="B79" s="4"/>
      <c r="C79" s="4"/>
      <c r="D79" s="17"/>
      <c r="E79" s="17"/>
      <c r="F79" s="17"/>
      <c r="G79" s="17"/>
      <c r="H79" s="17"/>
      <c r="I79" s="17"/>
      <c r="J79" s="17"/>
      <c r="K79" s="17"/>
      <c r="L79" s="17"/>
      <c r="M79" s="17"/>
      <c r="N79" s="17"/>
      <c r="O79" s="17"/>
      <c r="P79" s="1"/>
      <c r="Q79" s="17"/>
      <c r="R79" s="19"/>
    </row>
    <row r="80" spans="1:18" ht="27.5">
      <c r="A80" s="12" t="s">
        <v>210</v>
      </c>
      <c r="B80" s="13"/>
      <c r="C80" s="13"/>
      <c r="D80" s="2"/>
      <c r="E80" s="24" t="s">
        <v>651</v>
      </c>
      <c r="F80" s="34"/>
      <c r="G80" s="26" t="s">
        <v>214</v>
      </c>
      <c r="H80" s="26" t="s">
        <v>215</v>
      </c>
      <c r="I80" s="26" t="s">
        <v>219</v>
      </c>
      <c r="J80" s="26" t="s">
        <v>211</v>
      </c>
      <c r="K80" s="26" t="s">
        <v>216</v>
      </c>
      <c r="L80" s="26" t="s">
        <v>217</v>
      </c>
      <c r="M80" s="26" t="s">
        <v>220</v>
      </c>
      <c r="N80" s="26" t="s">
        <v>221</v>
      </c>
      <c r="O80" s="26" t="s">
        <v>208</v>
      </c>
      <c r="P80" s="27" t="s">
        <v>249</v>
      </c>
      <c r="Q80" s="2"/>
      <c r="R80" s="9" t="s">
        <v>213</v>
      </c>
    </row>
    <row r="81" spans="1:18">
      <c r="A81" s="20" t="str">
        <f t="shared" ref="A81:A100" si="36">IF(J81="","RESP","")</f>
        <v>RESP</v>
      </c>
      <c r="B81" s="20" t="str">
        <f t="shared" ref="B81:B100" si="37">IF(M81="","INIT","")</f>
        <v>INIT</v>
      </c>
      <c r="C81" s="20" t="str">
        <f t="shared" ref="C81:C100" si="38">IF(AND(J81="NO",O81=""),"CMTS","")</f>
        <v/>
      </c>
      <c r="D81" s="5"/>
      <c r="E81" s="28" t="s">
        <v>282</v>
      </c>
      <c r="F81" s="33" t="s">
        <v>625</v>
      </c>
      <c r="G81" s="30" t="s">
        <v>218</v>
      </c>
      <c r="H81" s="30" t="s">
        <v>624</v>
      </c>
      <c r="I81" s="30" t="s">
        <v>218</v>
      </c>
      <c r="J81" s="30"/>
      <c r="K81" s="30" t="s">
        <v>194</v>
      </c>
      <c r="L81" s="30"/>
      <c r="M81" s="30"/>
      <c r="N81" s="30"/>
      <c r="O81" s="31"/>
      <c r="P81" s="32"/>
      <c r="Q81" s="5"/>
      <c r="R81" s="10"/>
    </row>
    <row r="82" spans="1:18">
      <c r="A82" s="20" t="str">
        <f t="shared" si="36"/>
        <v>RESP</v>
      </c>
      <c r="B82" s="20" t="str">
        <f t="shared" si="37"/>
        <v>INIT</v>
      </c>
      <c r="C82" s="20" t="str">
        <f t="shared" si="38"/>
        <v/>
      </c>
      <c r="D82" s="5"/>
      <c r="E82" s="28" t="s">
        <v>283</v>
      </c>
      <c r="F82" s="33" t="s">
        <v>626</v>
      </c>
      <c r="G82" s="30" t="s">
        <v>218</v>
      </c>
      <c r="H82" s="30" t="s">
        <v>624</v>
      </c>
      <c r="I82" s="30" t="s">
        <v>218</v>
      </c>
      <c r="J82" s="30"/>
      <c r="K82" s="30" t="s">
        <v>194</v>
      </c>
      <c r="L82" s="30"/>
      <c r="M82" s="30"/>
      <c r="N82" s="30"/>
      <c r="O82" s="31"/>
      <c r="P82" s="32"/>
      <c r="Q82" s="5"/>
      <c r="R82" s="10"/>
    </row>
    <row r="83" spans="1:18">
      <c r="A83" s="20" t="str">
        <f t="shared" si="36"/>
        <v>RESP</v>
      </c>
      <c r="B83" s="20" t="str">
        <f t="shared" si="37"/>
        <v>INIT</v>
      </c>
      <c r="C83" s="20" t="str">
        <f t="shared" si="38"/>
        <v/>
      </c>
      <c r="D83" s="5"/>
      <c r="E83" s="28" t="s">
        <v>284</v>
      </c>
      <c r="F83" s="33" t="s">
        <v>627</v>
      </c>
      <c r="G83" s="30" t="s">
        <v>218</v>
      </c>
      <c r="H83" s="30" t="s">
        <v>624</v>
      </c>
      <c r="I83" s="30" t="s">
        <v>218</v>
      </c>
      <c r="J83" s="30"/>
      <c r="K83" s="30" t="s">
        <v>194</v>
      </c>
      <c r="L83" s="30"/>
      <c r="M83" s="30"/>
      <c r="N83" s="30"/>
      <c r="O83" s="31"/>
      <c r="P83" s="32"/>
      <c r="Q83" s="5"/>
      <c r="R83" s="10"/>
    </row>
    <row r="84" spans="1:18">
      <c r="A84" s="20" t="str">
        <f t="shared" si="36"/>
        <v>RESP</v>
      </c>
      <c r="B84" s="20" t="str">
        <f t="shared" si="37"/>
        <v>INIT</v>
      </c>
      <c r="C84" s="20" t="str">
        <f t="shared" si="38"/>
        <v/>
      </c>
      <c r="D84" s="5"/>
      <c r="E84" s="28" t="s">
        <v>285</v>
      </c>
      <c r="F84" s="33" t="s">
        <v>637</v>
      </c>
      <c r="G84" s="30" t="s">
        <v>218</v>
      </c>
      <c r="H84" s="30" t="s">
        <v>624</v>
      </c>
      <c r="I84" s="30" t="s">
        <v>218</v>
      </c>
      <c r="J84" s="30"/>
      <c r="K84" s="30" t="s">
        <v>144</v>
      </c>
      <c r="L84" s="30"/>
      <c r="M84" s="30"/>
      <c r="N84" s="30"/>
      <c r="O84" s="31"/>
      <c r="P84" s="32"/>
      <c r="Q84" s="5"/>
      <c r="R84" s="10"/>
    </row>
    <row r="85" spans="1:18">
      <c r="A85" s="20" t="str">
        <f t="shared" ref="A85:A90" si="39">IF(J85="","RESP","")</f>
        <v>RESP</v>
      </c>
      <c r="B85" s="20" t="str">
        <f t="shared" ref="B85:B90" si="40">IF(M85="","INIT","")</f>
        <v>INIT</v>
      </c>
      <c r="C85" s="20" t="str">
        <f t="shared" ref="C85:C90" si="41">IF(AND(J85="NO",O85=""),"CMTS","")</f>
        <v/>
      </c>
      <c r="D85" s="5"/>
      <c r="E85" s="28" t="s">
        <v>286</v>
      </c>
      <c r="F85" s="33" t="s">
        <v>878</v>
      </c>
      <c r="G85" s="30" t="s">
        <v>218</v>
      </c>
      <c r="H85" s="30" t="s">
        <v>624</v>
      </c>
      <c r="I85" s="30" t="s">
        <v>218</v>
      </c>
      <c r="J85" s="30"/>
      <c r="K85" s="30" t="s">
        <v>194</v>
      </c>
      <c r="L85" s="30"/>
      <c r="M85" s="30"/>
      <c r="N85" s="30"/>
      <c r="O85" s="31"/>
      <c r="P85" s="32"/>
      <c r="Q85" s="5"/>
      <c r="R85" s="10"/>
    </row>
    <row r="86" spans="1:18">
      <c r="A86" s="20" t="str">
        <f t="shared" si="39"/>
        <v>RESP</v>
      </c>
      <c r="B86" s="20" t="str">
        <f t="shared" si="40"/>
        <v>INIT</v>
      </c>
      <c r="C86" s="20" t="str">
        <f t="shared" si="41"/>
        <v/>
      </c>
      <c r="D86" s="5"/>
      <c r="E86" s="28" t="s">
        <v>287</v>
      </c>
      <c r="F86" s="33" t="s">
        <v>873</v>
      </c>
      <c r="G86" s="30" t="s">
        <v>218</v>
      </c>
      <c r="H86" s="30" t="s">
        <v>624</v>
      </c>
      <c r="I86" s="30" t="s">
        <v>218</v>
      </c>
      <c r="J86" s="30"/>
      <c r="K86" s="30" t="s">
        <v>194</v>
      </c>
      <c r="L86" s="30"/>
      <c r="M86" s="30"/>
      <c r="N86" s="30"/>
      <c r="O86" s="31"/>
      <c r="P86" s="32"/>
      <c r="Q86" s="5"/>
      <c r="R86" s="10"/>
    </row>
    <row r="87" spans="1:18">
      <c r="A87" s="20" t="str">
        <f t="shared" si="39"/>
        <v>RESP</v>
      </c>
      <c r="B87" s="20" t="str">
        <f t="shared" si="40"/>
        <v>INIT</v>
      </c>
      <c r="C87" s="20" t="str">
        <f t="shared" si="41"/>
        <v/>
      </c>
      <c r="D87" s="5"/>
      <c r="E87" s="28" t="s">
        <v>288</v>
      </c>
      <c r="F87" s="33" t="s">
        <v>874</v>
      </c>
      <c r="G87" s="30" t="s">
        <v>218</v>
      </c>
      <c r="H87" s="30" t="s">
        <v>624</v>
      </c>
      <c r="I87" s="30" t="s">
        <v>218</v>
      </c>
      <c r="J87" s="30"/>
      <c r="K87" s="30" t="s">
        <v>194</v>
      </c>
      <c r="L87" s="30"/>
      <c r="M87" s="30"/>
      <c r="N87" s="30"/>
      <c r="O87" s="31"/>
      <c r="P87" s="32"/>
      <c r="Q87" s="5"/>
      <c r="R87" s="10"/>
    </row>
    <row r="88" spans="1:18" ht="14.5" customHeight="1">
      <c r="A88" s="20" t="str">
        <f t="shared" si="39"/>
        <v>RESP</v>
      </c>
      <c r="B88" s="20" t="str">
        <f t="shared" si="40"/>
        <v>INIT</v>
      </c>
      <c r="C88" s="20" t="str">
        <f t="shared" si="41"/>
        <v/>
      </c>
      <c r="D88" s="5"/>
      <c r="E88" s="28" t="s">
        <v>289</v>
      </c>
      <c r="F88" s="33" t="s">
        <v>875</v>
      </c>
      <c r="G88" s="30" t="s">
        <v>218</v>
      </c>
      <c r="H88" s="30" t="s">
        <v>624</v>
      </c>
      <c r="I88" s="30" t="s">
        <v>218</v>
      </c>
      <c r="J88" s="30"/>
      <c r="K88" s="30" t="s">
        <v>194</v>
      </c>
      <c r="L88" s="30"/>
      <c r="M88" s="30"/>
      <c r="N88" s="30"/>
      <c r="O88" s="31"/>
      <c r="P88" s="32"/>
      <c r="Q88" s="5"/>
      <c r="R88" s="10"/>
    </row>
    <row r="89" spans="1:18" ht="14.5" customHeight="1">
      <c r="A89" s="20" t="str">
        <f t="shared" si="39"/>
        <v>RESP</v>
      </c>
      <c r="B89" s="20" t="str">
        <f t="shared" si="40"/>
        <v>INIT</v>
      </c>
      <c r="C89" s="20" t="str">
        <f t="shared" si="41"/>
        <v/>
      </c>
      <c r="D89" s="5"/>
      <c r="E89" s="28" t="s">
        <v>290</v>
      </c>
      <c r="F89" s="33" t="s">
        <v>876</v>
      </c>
      <c r="G89" s="30" t="s">
        <v>218</v>
      </c>
      <c r="H89" s="30" t="s">
        <v>624</v>
      </c>
      <c r="I89" s="30" t="s">
        <v>218</v>
      </c>
      <c r="J89" s="30"/>
      <c r="K89" s="30" t="s">
        <v>194</v>
      </c>
      <c r="L89" s="30"/>
      <c r="M89" s="30"/>
      <c r="N89" s="30"/>
      <c r="O89" s="31"/>
      <c r="P89" s="32"/>
      <c r="Q89" s="5"/>
      <c r="R89" s="10"/>
    </row>
    <row r="90" spans="1:18" ht="14.5" customHeight="1">
      <c r="A90" s="20" t="str">
        <f t="shared" si="39"/>
        <v>RESP</v>
      </c>
      <c r="B90" s="20" t="str">
        <f t="shared" si="40"/>
        <v>INIT</v>
      </c>
      <c r="C90" s="20" t="str">
        <f t="shared" si="41"/>
        <v/>
      </c>
      <c r="D90" s="5"/>
      <c r="E90" s="28" t="s">
        <v>291</v>
      </c>
      <c r="F90" s="33" t="s">
        <v>877</v>
      </c>
      <c r="G90" s="30" t="s">
        <v>218</v>
      </c>
      <c r="H90" s="30" t="s">
        <v>624</v>
      </c>
      <c r="I90" s="30" t="s">
        <v>218</v>
      </c>
      <c r="J90" s="30"/>
      <c r="K90" s="30" t="s">
        <v>144</v>
      </c>
      <c r="L90" s="30"/>
      <c r="M90" s="30"/>
      <c r="N90" s="30"/>
      <c r="O90" s="31"/>
      <c r="P90" s="32"/>
      <c r="Q90" s="5"/>
      <c r="R90" s="10"/>
    </row>
    <row r="91" spans="1:18">
      <c r="A91" s="20" t="str">
        <f t="shared" si="36"/>
        <v>RESP</v>
      </c>
      <c r="B91" s="20" t="str">
        <f t="shared" si="37"/>
        <v>INIT</v>
      </c>
      <c r="C91" s="20" t="str">
        <f t="shared" si="38"/>
        <v/>
      </c>
      <c r="D91" s="5"/>
      <c r="E91" s="28" t="s">
        <v>292</v>
      </c>
      <c r="F91" s="33" t="s">
        <v>639</v>
      </c>
      <c r="G91" s="30" t="s">
        <v>218</v>
      </c>
      <c r="H91" s="30" t="s">
        <v>624</v>
      </c>
      <c r="I91" s="30" t="s">
        <v>218</v>
      </c>
      <c r="J91" s="30"/>
      <c r="K91" s="30" t="s">
        <v>144</v>
      </c>
      <c r="L91" s="30"/>
      <c r="M91" s="30"/>
      <c r="N91" s="30"/>
      <c r="O91" s="31"/>
      <c r="P91" s="32"/>
      <c r="Q91" s="5"/>
      <c r="R91" s="10"/>
    </row>
    <row r="92" spans="1:18" ht="26.5">
      <c r="A92" s="20" t="str">
        <f t="shared" si="36"/>
        <v>RESP</v>
      </c>
      <c r="B92" s="20" t="str">
        <f t="shared" si="37"/>
        <v>INIT</v>
      </c>
      <c r="C92" s="20" t="str">
        <f t="shared" si="38"/>
        <v/>
      </c>
      <c r="D92" s="5"/>
      <c r="E92" s="28" t="s">
        <v>293</v>
      </c>
      <c r="F92" s="33" t="s">
        <v>628</v>
      </c>
      <c r="G92" s="30" t="s">
        <v>218</v>
      </c>
      <c r="H92" s="30" t="s">
        <v>624</v>
      </c>
      <c r="I92" s="30" t="s">
        <v>218</v>
      </c>
      <c r="J92" s="30"/>
      <c r="K92" s="30" t="s">
        <v>144</v>
      </c>
      <c r="L92" s="30"/>
      <c r="M92" s="30"/>
      <c r="N92" s="30"/>
      <c r="O92" s="31"/>
      <c r="P92" s="32"/>
      <c r="Q92" s="5"/>
      <c r="R92" s="33" t="s">
        <v>647</v>
      </c>
    </row>
    <row r="93" spans="1:18">
      <c r="A93" s="20" t="str">
        <f t="shared" si="36"/>
        <v>RESP</v>
      </c>
      <c r="B93" s="20" t="str">
        <f t="shared" si="37"/>
        <v>INIT</v>
      </c>
      <c r="C93" s="20" t="str">
        <f t="shared" si="38"/>
        <v/>
      </c>
      <c r="D93" s="5"/>
      <c r="E93" s="28" t="s">
        <v>294</v>
      </c>
      <c r="F93" s="33" t="s">
        <v>629</v>
      </c>
      <c r="G93" s="30" t="s">
        <v>218</v>
      </c>
      <c r="H93" s="30" t="s">
        <v>624</v>
      </c>
      <c r="I93" s="30" t="s">
        <v>218</v>
      </c>
      <c r="J93" s="30"/>
      <c r="K93" s="30" t="s">
        <v>144</v>
      </c>
      <c r="L93" s="30"/>
      <c r="M93" s="30"/>
      <c r="N93" s="30"/>
      <c r="O93" s="31"/>
      <c r="P93" s="32"/>
      <c r="Q93" s="5"/>
      <c r="R93" s="33" t="s">
        <v>653</v>
      </c>
    </row>
    <row r="94" spans="1:18" ht="26.5">
      <c r="A94" s="20" t="str">
        <f t="shared" si="36"/>
        <v>RESP</v>
      </c>
      <c r="B94" s="20" t="str">
        <f t="shared" si="37"/>
        <v>INIT</v>
      </c>
      <c r="C94" s="20" t="str">
        <f t="shared" si="38"/>
        <v/>
      </c>
      <c r="D94" s="5"/>
      <c r="E94" s="28" t="s">
        <v>295</v>
      </c>
      <c r="F94" s="33" t="s">
        <v>630</v>
      </c>
      <c r="G94" s="30" t="s">
        <v>218</v>
      </c>
      <c r="H94" s="30" t="s">
        <v>624</v>
      </c>
      <c r="I94" s="30" t="s">
        <v>218</v>
      </c>
      <c r="J94" s="30"/>
      <c r="K94" s="30" t="s">
        <v>194</v>
      </c>
      <c r="L94" s="30"/>
      <c r="M94" s="30"/>
      <c r="N94" s="30"/>
      <c r="O94" s="31"/>
      <c r="P94" s="32"/>
      <c r="Q94" s="5"/>
      <c r="R94" s="33" t="s">
        <v>647</v>
      </c>
    </row>
    <row r="95" spans="1:18" ht="26.5">
      <c r="A95" s="20" t="str">
        <f t="shared" si="36"/>
        <v>RESP</v>
      </c>
      <c r="B95" s="20" t="str">
        <f t="shared" si="37"/>
        <v>INIT</v>
      </c>
      <c r="C95" s="20" t="str">
        <f t="shared" si="38"/>
        <v/>
      </c>
      <c r="D95" s="5"/>
      <c r="E95" s="28" t="s">
        <v>296</v>
      </c>
      <c r="F95" s="33" t="s">
        <v>631</v>
      </c>
      <c r="G95" s="30" t="s">
        <v>218</v>
      </c>
      <c r="H95" s="30" t="s">
        <v>624</v>
      </c>
      <c r="I95" s="30" t="s">
        <v>218</v>
      </c>
      <c r="J95" s="30"/>
      <c r="K95" s="30" t="s">
        <v>194</v>
      </c>
      <c r="L95" s="30"/>
      <c r="M95" s="30"/>
      <c r="N95" s="30"/>
      <c r="O95" s="31"/>
      <c r="P95" s="32"/>
      <c r="Q95" s="5"/>
      <c r="R95" s="33" t="s">
        <v>647</v>
      </c>
    </row>
    <row r="96" spans="1:18" ht="26.5">
      <c r="A96" s="20" t="str">
        <f t="shared" si="36"/>
        <v>RESP</v>
      </c>
      <c r="B96" s="20" t="str">
        <f t="shared" si="37"/>
        <v>INIT</v>
      </c>
      <c r="C96" s="20" t="str">
        <f t="shared" si="38"/>
        <v/>
      </c>
      <c r="D96" s="5"/>
      <c r="E96" s="28" t="s">
        <v>879</v>
      </c>
      <c r="F96" s="33" t="s">
        <v>632</v>
      </c>
      <c r="G96" s="30" t="s">
        <v>218</v>
      </c>
      <c r="H96" s="30" t="s">
        <v>624</v>
      </c>
      <c r="I96" s="30" t="s">
        <v>218</v>
      </c>
      <c r="J96" s="30"/>
      <c r="K96" s="30" t="s">
        <v>194</v>
      </c>
      <c r="L96" s="30"/>
      <c r="M96" s="30"/>
      <c r="N96" s="30"/>
      <c r="O96" s="31"/>
      <c r="P96" s="32"/>
      <c r="Q96" s="5"/>
      <c r="R96" s="33" t="s">
        <v>647</v>
      </c>
    </row>
    <row r="97" spans="1:18" ht="26.5">
      <c r="A97" s="20" t="str">
        <f t="shared" si="36"/>
        <v>RESP</v>
      </c>
      <c r="B97" s="20" t="str">
        <f t="shared" si="37"/>
        <v>INIT</v>
      </c>
      <c r="C97" s="20" t="str">
        <f t="shared" si="38"/>
        <v/>
      </c>
      <c r="D97" s="5"/>
      <c r="E97" s="28" t="s">
        <v>880</v>
      </c>
      <c r="F97" s="33" t="s">
        <v>633</v>
      </c>
      <c r="G97" s="30" t="s">
        <v>218</v>
      </c>
      <c r="H97" s="30" t="s">
        <v>624</v>
      </c>
      <c r="I97" s="30" t="s">
        <v>218</v>
      </c>
      <c r="J97" s="30"/>
      <c r="K97" s="30" t="s">
        <v>194</v>
      </c>
      <c r="L97" s="30"/>
      <c r="M97" s="30"/>
      <c r="N97" s="30"/>
      <c r="O97" s="31"/>
      <c r="P97" s="32"/>
      <c r="Q97" s="5"/>
      <c r="R97" s="33" t="s">
        <v>647</v>
      </c>
    </row>
    <row r="98" spans="1:18" ht="26.5">
      <c r="A98" s="20" t="str">
        <f t="shared" si="36"/>
        <v>RESP</v>
      </c>
      <c r="B98" s="20" t="str">
        <f t="shared" si="37"/>
        <v>INIT</v>
      </c>
      <c r="C98" s="20" t="str">
        <f t="shared" si="38"/>
        <v/>
      </c>
      <c r="D98" s="5"/>
      <c r="E98" s="28" t="s">
        <v>881</v>
      </c>
      <c r="F98" s="33" t="s">
        <v>634</v>
      </c>
      <c r="G98" s="30" t="s">
        <v>218</v>
      </c>
      <c r="H98" s="30" t="s">
        <v>624</v>
      </c>
      <c r="I98" s="30" t="s">
        <v>218</v>
      </c>
      <c r="J98" s="30"/>
      <c r="K98" s="30" t="s">
        <v>194</v>
      </c>
      <c r="L98" s="30"/>
      <c r="M98" s="30"/>
      <c r="N98" s="30"/>
      <c r="O98" s="31"/>
      <c r="P98" s="32"/>
      <c r="Q98" s="5"/>
      <c r="R98" s="33" t="s">
        <v>647</v>
      </c>
    </row>
    <row r="99" spans="1:18" ht="26.5">
      <c r="A99" s="20" t="str">
        <f t="shared" si="36"/>
        <v>RESP</v>
      </c>
      <c r="B99" s="20" t="str">
        <f t="shared" si="37"/>
        <v>INIT</v>
      </c>
      <c r="C99" s="20" t="str">
        <f t="shared" si="38"/>
        <v/>
      </c>
      <c r="D99" s="5"/>
      <c r="E99" s="28" t="s">
        <v>882</v>
      </c>
      <c r="F99" s="33" t="s">
        <v>635</v>
      </c>
      <c r="G99" s="30" t="s">
        <v>218</v>
      </c>
      <c r="H99" s="30" t="s">
        <v>624</v>
      </c>
      <c r="I99" s="30" t="s">
        <v>218</v>
      </c>
      <c r="J99" s="30"/>
      <c r="K99" s="30" t="s">
        <v>144</v>
      </c>
      <c r="L99" s="30"/>
      <c r="M99" s="30"/>
      <c r="N99" s="30"/>
      <c r="O99" s="31"/>
      <c r="P99" s="32"/>
      <c r="Q99" s="5"/>
      <c r="R99" s="33" t="s">
        <v>647</v>
      </c>
    </row>
    <row r="100" spans="1:18" ht="26.5">
      <c r="A100" s="20" t="str">
        <f t="shared" si="36"/>
        <v>RESP</v>
      </c>
      <c r="B100" s="20" t="str">
        <f t="shared" si="37"/>
        <v>INIT</v>
      </c>
      <c r="C100" s="20" t="str">
        <f t="shared" si="38"/>
        <v/>
      </c>
      <c r="D100" s="5"/>
      <c r="E100" s="28" t="s">
        <v>883</v>
      </c>
      <c r="F100" s="33" t="s">
        <v>636</v>
      </c>
      <c r="G100" s="30" t="s">
        <v>218</v>
      </c>
      <c r="H100" s="30" t="s">
        <v>624</v>
      </c>
      <c r="I100" s="30" t="s">
        <v>218</v>
      </c>
      <c r="J100" s="30"/>
      <c r="K100" s="30" t="s">
        <v>144</v>
      </c>
      <c r="L100" s="30"/>
      <c r="M100" s="30"/>
      <c r="N100" s="30"/>
      <c r="O100" s="31"/>
      <c r="P100" s="32"/>
      <c r="Q100" s="5"/>
      <c r="R100" s="33" t="s">
        <v>647</v>
      </c>
    </row>
    <row r="101" spans="1:18">
      <c r="A101" s="4"/>
      <c r="B101" s="4"/>
      <c r="C101" s="4"/>
      <c r="D101" s="17"/>
      <c r="E101" s="17"/>
      <c r="F101" s="17"/>
      <c r="G101" s="17"/>
      <c r="H101" s="17"/>
      <c r="I101" s="17"/>
      <c r="J101" s="17"/>
      <c r="K101" s="17"/>
      <c r="L101" s="17"/>
      <c r="M101" s="17"/>
      <c r="N101" s="17"/>
      <c r="O101" s="17"/>
      <c r="P101" s="1"/>
      <c r="Q101" s="17"/>
      <c r="R101" s="19"/>
    </row>
    <row r="102" spans="1:18">
      <c r="A102" s="4"/>
      <c r="B102" s="4"/>
      <c r="C102" s="4"/>
      <c r="D102" s="17"/>
      <c r="E102" s="17"/>
      <c r="F102" s="17"/>
      <c r="G102" s="17"/>
      <c r="H102" s="17"/>
      <c r="I102" s="17"/>
      <c r="J102" s="17"/>
      <c r="K102" s="17"/>
      <c r="L102" s="17"/>
      <c r="M102" s="17"/>
      <c r="N102" s="17"/>
      <c r="O102" s="17"/>
      <c r="P102" s="1"/>
      <c r="Q102" s="17"/>
      <c r="R102" s="19"/>
    </row>
    <row r="103" spans="1:18" ht="27.5">
      <c r="A103" s="12" t="s">
        <v>210</v>
      </c>
      <c r="B103" s="13"/>
      <c r="C103" s="13"/>
      <c r="D103" s="2"/>
      <c r="E103" s="24" t="s">
        <v>652</v>
      </c>
      <c r="F103" s="34"/>
      <c r="G103" s="26" t="s">
        <v>214</v>
      </c>
      <c r="H103" s="26" t="s">
        <v>215</v>
      </c>
      <c r="I103" s="26" t="s">
        <v>219</v>
      </c>
      <c r="J103" s="26" t="s">
        <v>211</v>
      </c>
      <c r="K103" s="26" t="s">
        <v>216</v>
      </c>
      <c r="L103" s="26" t="s">
        <v>217</v>
      </c>
      <c r="M103" s="26" t="s">
        <v>220</v>
      </c>
      <c r="N103" s="26" t="s">
        <v>221</v>
      </c>
      <c r="O103" s="26" t="s">
        <v>208</v>
      </c>
      <c r="P103" s="27" t="s">
        <v>249</v>
      </c>
      <c r="Q103" s="2"/>
      <c r="R103" s="9" t="s">
        <v>213</v>
      </c>
    </row>
    <row r="104" spans="1:18" ht="26.5">
      <c r="A104" s="20" t="str">
        <f t="shared" ref="A104:A110" si="42">IF(J104="","RESP","")</f>
        <v>RESP</v>
      </c>
      <c r="B104" s="20" t="str">
        <f t="shared" ref="B104:B110" si="43">IF(M104="","INIT","")</f>
        <v>INIT</v>
      </c>
      <c r="C104" s="20" t="str">
        <f t="shared" ref="C104:C110" si="44">IF(AND(J104="NO",O104=""),"CMTS","")</f>
        <v/>
      </c>
      <c r="D104" s="5"/>
      <c r="E104" s="28" t="s">
        <v>303</v>
      </c>
      <c r="F104" s="33" t="s">
        <v>640</v>
      </c>
      <c r="G104" s="30" t="s">
        <v>218</v>
      </c>
      <c r="H104" s="30" t="s">
        <v>624</v>
      </c>
      <c r="I104" s="30" t="s">
        <v>218</v>
      </c>
      <c r="J104" s="30"/>
      <c r="K104" s="30" t="s">
        <v>144</v>
      </c>
      <c r="L104" s="30"/>
      <c r="M104" s="30"/>
      <c r="N104" s="30"/>
      <c r="O104" s="31"/>
      <c r="P104" s="32"/>
      <c r="Q104" s="5"/>
      <c r="R104" s="33" t="s">
        <v>647</v>
      </c>
    </row>
    <row r="105" spans="1:18" ht="26.5">
      <c r="A105" s="20" t="str">
        <f t="shared" si="42"/>
        <v>RESP</v>
      </c>
      <c r="B105" s="20" t="str">
        <f t="shared" si="43"/>
        <v>INIT</v>
      </c>
      <c r="C105" s="20" t="str">
        <f t="shared" si="44"/>
        <v/>
      </c>
      <c r="D105" s="5"/>
      <c r="E105" s="28" t="s">
        <v>304</v>
      </c>
      <c r="F105" s="33" t="s">
        <v>641</v>
      </c>
      <c r="G105" s="30" t="s">
        <v>218</v>
      </c>
      <c r="H105" s="30" t="s">
        <v>624</v>
      </c>
      <c r="I105" s="30" t="s">
        <v>218</v>
      </c>
      <c r="J105" s="30"/>
      <c r="K105" s="30" t="s">
        <v>194</v>
      </c>
      <c r="L105" s="30"/>
      <c r="M105" s="30"/>
      <c r="N105" s="30"/>
      <c r="O105" s="31"/>
      <c r="P105" s="32"/>
      <c r="Q105" s="5"/>
      <c r="R105" s="33" t="s">
        <v>647</v>
      </c>
    </row>
    <row r="106" spans="1:18" ht="26.5">
      <c r="A106" s="20" t="str">
        <f t="shared" si="42"/>
        <v>RESP</v>
      </c>
      <c r="B106" s="20" t="str">
        <f t="shared" si="43"/>
        <v>INIT</v>
      </c>
      <c r="C106" s="20" t="str">
        <f t="shared" si="44"/>
        <v/>
      </c>
      <c r="D106" s="5"/>
      <c r="E106" s="28" t="s">
        <v>305</v>
      </c>
      <c r="F106" s="33" t="s">
        <v>642</v>
      </c>
      <c r="G106" s="30" t="s">
        <v>218</v>
      </c>
      <c r="H106" s="30" t="s">
        <v>624</v>
      </c>
      <c r="I106" s="30" t="s">
        <v>218</v>
      </c>
      <c r="J106" s="30"/>
      <c r="K106" s="30" t="s">
        <v>194</v>
      </c>
      <c r="L106" s="30"/>
      <c r="M106" s="30"/>
      <c r="N106" s="30"/>
      <c r="O106" s="31"/>
      <c r="P106" s="32"/>
      <c r="Q106" s="5"/>
      <c r="R106" s="33" t="s">
        <v>647</v>
      </c>
    </row>
    <row r="107" spans="1:18" ht="26.5">
      <c r="A107" s="20" t="str">
        <f t="shared" si="42"/>
        <v>RESP</v>
      </c>
      <c r="B107" s="20" t="str">
        <f t="shared" si="43"/>
        <v>INIT</v>
      </c>
      <c r="C107" s="20" t="str">
        <f t="shared" si="44"/>
        <v/>
      </c>
      <c r="D107" s="5"/>
      <c r="E107" s="28" t="s">
        <v>306</v>
      </c>
      <c r="F107" s="33" t="s">
        <v>643</v>
      </c>
      <c r="G107" s="30" t="s">
        <v>218</v>
      </c>
      <c r="H107" s="30" t="s">
        <v>624</v>
      </c>
      <c r="I107" s="30" t="s">
        <v>218</v>
      </c>
      <c r="J107" s="30"/>
      <c r="K107" s="30" t="s">
        <v>144</v>
      </c>
      <c r="L107" s="30"/>
      <c r="M107" s="30"/>
      <c r="N107" s="30"/>
      <c r="O107" s="31"/>
      <c r="P107" s="32"/>
      <c r="Q107" s="5"/>
      <c r="R107" s="33" t="s">
        <v>647</v>
      </c>
    </row>
    <row r="108" spans="1:18" ht="26.5">
      <c r="A108" s="20" t="str">
        <f t="shared" si="42"/>
        <v>RESP</v>
      </c>
      <c r="B108" s="20" t="str">
        <f t="shared" si="43"/>
        <v>INIT</v>
      </c>
      <c r="C108" s="20" t="str">
        <f t="shared" si="44"/>
        <v/>
      </c>
      <c r="D108" s="5"/>
      <c r="E108" s="28" t="s">
        <v>307</v>
      </c>
      <c r="F108" s="33" t="s">
        <v>644</v>
      </c>
      <c r="G108" s="30" t="s">
        <v>218</v>
      </c>
      <c r="H108" s="30" t="s">
        <v>624</v>
      </c>
      <c r="I108" s="30" t="s">
        <v>218</v>
      </c>
      <c r="J108" s="30"/>
      <c r="K108" s="30" t="s">
        <v>194</v>
      </c>
      <c r="L108" s="30"/>
      <c r="M108" s="30"/>
      <c r="N108" s="30"/>
      <c r="O108" s="31"/>
      <c r="P108" s="32"/>
      <c r="Q108" s="5"/>
      <c r="R108" s="33" t="s">
        <v>647</v>
      </c>
    </row>
    <row r="109" spans="1:18" ht="26.5">
      <c r="A109" s="20" t="str">
        <f t="shared" si="42"/>
        <v>RESP</v>
      </c>
      <c r="B109" s="20" t="str">
        <f t="shared" si="43"/>
        <v>INIT</v>
      </c>
      <c r="C109" s="20" t="str">
        <f t="shared" si="44"/>
        <v/>
      </c>
      <c r="D109" s="5"/>
      <c r="E109" s="28" t="s">
        <v>308</v>
      </c>
      <c r="F109" s="33" t="s">
        <v>645</v>
      </c>
      <c r="G109" s="30" t="s">
        <v>218</v>
      </c>
      <c r="H109" s="30" t="s">
        <v>624</v>
      </c>
      <c r="I109" s="30" t="s">
        <v>218</v>
      </c>
      <c r="J109" s="30"/>
      <c r="K109" s="30" t="s">
        <v>194</v>
      </c>
      <c r="L109" s="30"/>
      <c r="M109" s="30"/>
      <c r="N109" s="30"/>
      <c r="O109" s="31"/>
      <c r="P109" s="32"/>
      <c r="Q109" s="5"/>
      <c r="R109" s="33" t="s">
        <v>647</v>
      </c>
    </row>
    <row r="110" spans="1:18" ht="26.5">
      <c r="A110" s="20" t="str">
        <f t="shared" si="42"/>
        <v>RESP</v>
      </c>
      <c r="B110" s="20" t="str">
        <f t="shared" si="43"/>
        <v>INIT</v>
      </c>
      <c r="C110" s="20" t="str">
        <f t="shared" si="44"/>
        <v/>
      </c>
      <c r="D110" s="5"/>
      <c r="E110" s="28" t="s">
        <v>309</v>
      </c>
      <c r="F110" s="33" t="s">
        <v>646</v>
      </c>
      <c r="G110" s="30" t="s">
        <v>218</v>
      </c>
      <c r="H110" s="30" t="s">
        <v>624</v>
      </c>
      <c r="I110" s="30" t="s">
        <v>218</v>
      </c>
      <c r="J110" s="30"/>
      <c r="K110" s="30" t="s">
        <v>194</v>
      </c>
      <c r="L110" s="30"/>
      <c r="M110" s="30"/>
      <c r="N110" s="30"/>
      <c r="O110" s="31"/>
      <c r="P110" s="32"/>
      <c r="Q110" s="5"/>
      <c r="R110" s="33" t="s">
        <v>647</v>
      </c>
    </row>
    <row r="111" spans="1:18">
      <c r="A111" s="20" t="e">
        <f>IF(#REF!="","RESP","")</f>
        <v>#REF!</v>
      </c>
      <c r="B111" s="20" t="e">
        <f>IF(#REF!="","INIT","")</f>
        <v>#REF!</v>
      </c>
      <c r="C111" s="20" t="e">
        <f>IF(AND(#REF!="NO",#REF!=""),"CMTS","")</f>
        <v>#REF!</v>
      </c>
      <c r="D111" s="5"/>
      <c r="E111" s="28" t="s">
        <v>310</v>
      </c>
      <c r="F111" s="62" t="s">
        <v>100</v>
      </c>
      <c r="G111" s="30" t="s">
        <v>218</v>
      </c>
      <c r="H111" s="30" t="s">
        <v>624</v>
      </c>
      <c r="I111" s="30" t="s">
        <v>218</v>
      </c>
      <c r="J111" s="30"/>
      <c r="K111" s="30" t="s">
        <v>194</v>
      </c>
      <c r="L111" s="30"/>
      <c r="M111" s="30"/>
      <c r="N111" s="30"/>
      <c r="O111" s="31"/>
      <c r="P111" s="32"/>
      <c r="Q111" s="5"/>
      <c r="R111" s="10"/>
    </row>
    <row r="112" spans="1:18">
      <c r="A112" s="4"/>
      <c r="B112" s="4"/>
      <c r="C112" s="4"/>
      <c r="D112" s="17"/>
      <c r="E112" s="17"/>
      <c r="F112" s="17"/>
      <c r="G112" s="17"/>
      <c r="H112" s="17"/>
      <c r="I112" s="17"/>
      <c r="J112" s="17"/>
      <c r="K112" s="17"/>
      <c r="L112" s="17"/>
      <c r="M112" s="17"/>
      <c r="N112" s="17"/>
      <c r="O112" s="17"/>
      <c r="P112" s="1"/>
      <c r="Q112" s="17"/>
      <c r="R112" s="19"/>
    </row>
    <row r="113" spans="1:18">
      <c r="A113" s="4"/>
      <c r="B113" s="4"/>
      <c r="C113" s="4"/>
      <c r="D113" s="17"/>
      <c r="E113" s="17"/>
      <c r="F113" s="17"/>
      <c r="G113" s="17"/>
      <c r="H113" s="17"/>
      <c r="I113" s="17"/>
      <c r="J113" s="17"/>
      <c r="K113" s="17"/>
      <c r="L113" s="17"/>
      <c r="M113" s="17"/>
      <c r="N113" s="17"/>
      <c r="O113" s="17"/>
      <c r="P113" s="1"/>
      <c r="Q113" s="17"/>
      <c r="R113" s="19"/>
    </row>
    <row r="114" spans="1:18" ht="27.5">
      <c r="A114" s="12" t="s">
        <v>210</v>
      </c>
      <c r="B114" s="13"/>
      <c r="C114" s="13"/>
      <c r="D114" s="2"/>
      <c r="E114" s="24" t="s">
        <v>654</v>
      </c>
      <c r="F114" s="25"/>
      <c r="G114" s="26" t="s">
        <v>214</v>
      </c>
      <c r="H114" s="26" t="s">
        <v>215</v>
      </c>
      <c r="I114" s="26" t="s">
        <v>219</v>
      </c>
      <c r="J114" s="26" t="s">
        <v>211</v>
      </c>
      <c r="K114" s="26" t="s">
        <v>216</v>
      </c>
      <c r="L114" s="26" t="s">
        <v>217</v>
      </c>
      <c r="M114" s="26" t="s">
        <v>220</v>
      </c>
      <c r="N114" s="26" t="s">
        <v>221</v>
      </c>
      <c r="O114" s="26" t="s">
        <v>208</v>
      </c>
      <c r="P114" s="27" t="s">
        <v>212</v>
      </c>
      <c r="Q114" s="2"/>
      <c r="R114" s="9" t="s">
        <v>213</v>
      </c>
    </row>
    <row r="115" spans="1:18">
      <c r="A115" s="20" t="str">
        <f t="shared" ref="A115:A120" si="45">IF(J115="","RESP","")</f>
        <v>RESP</v>
      </c>
      <c r="B115" s="20" t="str">
        <f t="shared" ref="B115:B120" si="46">IF(M115="","INIT","")</f>
        <v>INIT</v>
      </c>
      <c r="C115" s="20" t="str">
        <f t="shared" ref="C115:C120" si="47">IF(AND(J115="NO",O115=""),"CMTS","")</f>
        <v/>
      </c>
      <c r="D115" s="2"/>
      <c r="E115" s="28" t="s">
        <v>326</v>
      </c>
      <c r="F115" s="29" t="s">
        <v>0</v>
      </c>
      <c r="G115" s="30" t="s">
        <v>218</v>
      </c>
      <c r="H115" s="30" t="s">
        <v>218</v>
      </c>
      <c r="I115" s="30" t="s">
        <v>218</v>
      </c>
      <c r="J115" s="30"/>
      <c r="K115" s="30" t="s">
        <v>194</v>
      </c>
      <c r="L115" s="30"/>
      <c r="M115" s="30"/>
      <c r="N115" s="30"/>
      <c r="O115" s="31"/>
      <c r="P115" s="32"/>
      <c r="Q115" s="2"/>
      <c r="R115" s="10"/>
    </row>
    <row r="116" spans="1:18" ht="26.5">
      <c r="A116" s="20" t="str">
        <f t="shared" si="45"/>
        <v>RESP</v>
      </c>
      <c r="B116" s="20" t="str">
        <f t="shared" si="46"/>
        <v>INIT</v>
      </c>
      <c r="C116" s="20" t="str">
        <f t="shared" si="47"/>
        <v/>
      </c>
      <c r="D116" s="2"/>
      <c r="E116" s="28" t="s">
        <v>327</v>
      </c>
      <c r="F116" s="33" t="s">
        <v>224</v>
      </c>
      <c r="G116" s="30" t="s">
        <v>218</v>
      </c>
      <c r="H116" s="30" t="s">
        <v>218</v>
      </c>
      <c r="I116" s="30" t="s">
        <v>218</v>
      </c>
      <c r="J116" s="30"/>
      <c r="K116" s="30" t="s">
        <v>144</v>
      </c>
      <c r="L116" s="30"/>
      <c r="M116" s="30"/>
      <c r="N116" s="30"/>
      <c r="O116" s="31"/>
      <c r="P116" s="32"/>
      <c r="Q116" s="2"/>
      <c r="R116" s="10"/>
    </row>
    <row r="117" spans="1:18">
      <c r="A117" s="20" t="str">
        <f t="shared" si="45"/>
        <v>RESP</v>
      </c>
      <c r="B117" s="20" t="str">
        <f t="shared" si="46"/>
        <v>INIT</v>
      </c>
      <c r="C117" s="20" t="str">
        <f t="shared" si="47"/>
        <v/>
      </c>
      <c r="D117" s="2"/>
      <c r="E117" s="28" t="s">
        <v>328</v>
      </c>
      <c r="F117" s="29" t="s">
        <v>1</v>
      </c>
      <c r="G117" s="30" t="s">
        <v>218</v>
      </c>
      <c r="H117" s="30" t="s">
        <v>218</v>
      </c>
      <c r="I117" s="30" t="s">
        <v>218</v>
      </c>
      <c r="J117" s="30"/>
      <c r="K117" s="30" t="s">
        <v>194</v>
      </c>
      <c r="L117" s="30"/>
      <c r="M117" s="30"/>
      <c r="N117" s="30"/>
      <c r="O117" s="31"/>
      <c r="P117" s="32"/>
      <c r="Q117" s="2"/>
      <c r="R117" s="10"/>
    </row>
    <row r="118" spans="1:18">
      <c r="A118" s="20" t="str">
        <f t="shared" si="45"/>
        <v>RESP</v>
      </c>
      <c r="B118" s="20" t="str">
        <f t="shared" si="46"/>
        <v>INIT</v>
      </c>
      <c r="C118" s="20" t="str">
        <f t="shared" si="47"/>
        <v/>
      </c>
      <c r="D118" s="5"/>
      <c r="E118" s="28" t="s">
        <v>329</v>
      </c>
      <c r="F118" s="29" t="s">
        <v>2</v>
      </c>
      <c r="G118" s="30" t="s">
        <v>218</v>
      </c>
      <c r="H118" s="30" t="s">
        <v>218</v>
      </c>
      <c r="I118" s="30" t="s">
        <v>218</v>
      </c>
      <c r="J118" s="30"/>
      <c r="K118" s="30" t="s">
        <v>194</v>
      </c>
      <c r="L118" s="30"/>
      <c r="M118" s="30"/>
      <c r="N118" s="30"/>
      <c r="O118" s="31"/>
      <c r="P118" s="32"/>
      <c r="Q118" s="5"/>
      <c r="R118" s="10"/>
    </row>
    <row r="119" spans="1:18">
      <c r="A119" s="20" t="str">
        <f t="shared" si="45"/>
        <v>RESP</v>
      </c>
      <c r="B119" s="20" t="str">
        <f t="shared" si="46"/>
        <v>INIT</v>
      </c>
      <c r="C119" s="20" t="str">
        <f t="shared" si="47"/>
        <v/>
      </c>
      <c r="D119" s="5"/>
      <c r="E119" s="28" t="s">
        <v>330</v>
      </c>
      <c r="F119" s="29" t="s">
        <v>3</v>
      </c>
      <c r="G119" s="30" t="s">
        <v>218</v>
      </c>
      <c r="H119" s="30" t="s">
        <v>218</v>
      </c>
      <c r="I119" s="30" t="s">
        <v>218</v>
      </c>
      <c r="J119" s="30"/>
      <c r="K119" s="30" t="s">
        <v>194</v>
      </c>
      <c r="L119" s="30"/>
      <c r="M119" s="30"/>
      <c r="N119" s="30"/>
      <c r="O119" s="31"/>
      <c r="P119" s="32"/>
      <c r="Q119" s="5"/>
      <c r="R119" s="10"/>
    </row>
    <row r="120" spans="1:18">
      <c r="A120" s="20" t="str">
        <f t="shared" si="45"/>
        <v>RESP</v>
      </c>
      <c r="B120" s="20" t="str">
        <f t="shared" si="46"/>
        <v>INIT</v>
      </c>
      <c r="C120" s="20" t="str">
        <f t="shared" si="47"/>
        <v/>
      </c>
      <c r="D120" s="5"/>
      <c r="E120" s="28" t="s">
        <v>331</v>
      </c>
      <c r="F120" s="29" t="s">
        <v>4</v>
      </c>
      <c r="G120" s="30" t="s">
        <v>218</v>
      </c>
      <c r="H120" s="30" t="s">
        <v>218</v>
      </c>
      <c r="I120" s="30" t="s">
        <v>218</v>
      </c>
      <c r="J120" s="30"/>
      <c r="K120" s="30" t="s">
        <v>194</v>
      </c>
      <c r="L120" s="30"/>
      <c r="M120" s="30"/>
      <c r="N120" s="30"/>
      <c r="O120" s="31"/>
      <c r="P120" s="32"/>
      <c r="Q120" s="5"/>
      <c r="R120" s="10"/>
    </row>
    <row r="121" spans="1:18">
      <c r="A121" s="20" t="str">
        <f t="shared" ref="A121" si="48">IF(J121="","RESP","")</f>
        <v>RESP</v>
      </c>
      <c r="B121" s="20" t="str">
        <f t="shared" ref="B121" si="49">IF(M121="","INIT","")</f>
        <v>INIT</v>
      </c>
      <c r="C121" s="20" t="str">
        <f t="shared" ref="C121" si="50">IF(AND(J121="NO",O121=""),"CMTS","")</f>
        <v/>
      </c>
      <c r="D121" s="5"/>
      <c r="E121" s="28" t="s">
        <v>1067</v>
      </c>
      <c r="F121" s="29" t="s">
        <v>1066</v>
      </c>
      <c r="G121" s="30" t="s">
        <v>218</v>
      </c>
      <c r="H121" s="30" t="s">
        <v>218</v>
      </c>
      <c r="I121" s="30" t="s">
        <v>218</v>
      </c>
      <c r="J121" s="30"/>
      <c r="K121" s="30" t="s">
        <v>194</v>
      </c>
      <c r="L121" s="30"/>
      <c r="M121" s="30"/>
      <c r="N121" s="30"/>
      <c r="O121" s="31"/>
      <c r="P121" s="32"/>
      <c r="Q121" s="5"/>
      <c r="R121" s="10"/>
    </row>
    <row r="122" spans="1:18">
      <c r="A122" s="20" t="str">
        <f t="shared" ref="A122" si="51">IF(J122="","RESP","")</f>
        <v>RESP</v>
      </c>
      <c r="B122" s="20" t="str">
        <f t="shared" ref="B122" si="52">IF(M122="","INIT","")</f>
        <v>INIT</v>
      </c>
      <c r="C122" s="20" t="str">
        <f t="shared" ref="C122" si="53">IF(AND(J122="NO",O122=""),"CMTS","")</f>
        <v/>
      </c>
      <c r="D122" s="5"/>
      <c r="E122" s="28" t="s">
        <v>1068</v>
      </c>
      <c r="F122" s="29" t="s">
        <v>1069</v>
      </c>
      <c r="G122" s="30" t="s">
        <v>218</v>
      </c>
      <c r="H122" s="30" t="s">
        <v>218</v>
      </c>
      <c r="I122" s="30" t="s">
        <v>218</v>
      </c>
      <c r="J122" s="30"/>
      <c r="K122" s="30" t="s">
        <v>194</v>
      </c>
      <c r="L122" s="30"/>
      <c r="M122" s="30"/>
      <c r="N122" s="30"/>
      <c r="O122" s="31"/>
      <c r="P122" s="32"/>
      <c r="Q122" s="5"/>
      <c r="R122" s="10"/>
    </row>
    <row r="123" spans="1:18">
      <c r="A123" s="4"/>
      <c r="B123" s="4"/>
      <c r="C123" s="4"/>
      <c r="D123" s="5"/>
      <c r="E123" s="6"/>
      <c r="F123" s="21"/>
      <c r="G123" s="21"/>
      <c r="H123" s="21"/>
      <c r="I123" s="21"/>
      <c r="J123" s="21"/>
      <c r="K123" s="21"/>
      <c r="L123" s="21"/>
      <c r="M123" s="21"/>
      <c r="N123" s="21"/>
      <c r="O123" s="21"/>
      <c r="P123" s="21"/>
      <c r="Q123" s="5"/>
      <c r="R123" s="8"/>
    </row>
    <row r="124" spans="1:18">
      <c r="A124" s="4"/>
      <c r="B124" s="4"/>
      <c r="C124" s="4"/>
      <c r="D124" s="5"/>
      <c r="E124" s="6"/>
      <c r="F124" s="21"/>
      <c r="G124" s="21"/>
      <c r="H124" s="21"/>
      <c r="I124" s="21"/>
      <c r="J124" s="21"/>
      <c r="K124" s="21"/>
      <c r="L124" s="21"/>
      <c r="M124" s="21"/>
      <c r="N124" s="21"/>
      <c r="O124" s="21"/>
      <c r="P124" s="21"/>
      <c r="Q124" s="5"/>
      <c r="R124" s="8"/>
    </row>
    <row r="125" spans="1:18" ht="27.5">
      <c r="A125" s="12" t="s">
        <v>210</v>
      </c>
      <c r="B125" s="13"/>
      <c r="C125" s="13"/>
      <c r="D125" s="2"/>
      <c r="E125" s="24" t="s">
        <v>1070</v>
      </c>
      <c r="F125" s="25"/>
      <c r="G125" s="26" t="s">
        <v>214</v>
      </c>
      <c r="H125" s="26" t="s">
        <v>215</v>
      </c>
      <c r="I125" s="26" t="s">
        <v>219</v>
      </c>
      <c r="J125" s="26" t="s">
        <v>211</v>
      </c>
      <c r="K125" s="26" t="s">
        <v>216</v>
      </c>
      <c r="L125" s="26" t="s">
        <v>217</v>
      </c>
      <c r="M125" s="26" t="s">
        <v>220</v>
      </c>
      <c r="N125" s="26" t="s">
        <v>221</v>
      </c>
      <c r="O125" s="26" t="s">
        <v>208</v>
      </c>
      <c r="P125" s="27" t="s">
        <v>212</v>
      </c>
      <c r="Q125" s="2"/>
      <c r="R125" s="9" t="s">
        <v>213</v>
      </c>
    </row>
    <row r="126" spans="1:18">
      <c r="A126" s="20" t="str">
        <f t="shared" ref="A126:A127" si="54">IF(J126="","RESP","")</f>
        <v>RESP</v>
      </c>
      <c r="B126" s="20" t="str">
        <f t="shared" ref="B126:B127" si="55">IF(M126="","INIT","")</f>
        <v>INIT</v>
      </c>
      <c r="C126" s="20" t="str">
        <f t="shared" ref="C126:C127" si="56">IF(AND(J126="NO",O126=""),"CMTS","")</f>
        <v/>
      </c>
      <c r="D126" s="2"/>
      <c r="E126" s="28" t="s">
        <v>1073</v>
      </c>
      <c r="F126" s="29" t="s">
        <v>1071</v>
      </c>
      <c r="G126" s="30" t="s">
        <v>218</v>
      </c>
      <c r="H126" s="30" t="s">
        <v>1075</v>
      </c>
      <c r="I126" s="30" t="s">
        <v>218</v>
      </c>
      <c r="J126" s="30"/>
      <c r="K126" s="30" t="s">
        <v>144</v>
      </c>
      <c r="L126" s="30"/>
      <c r="M126" s="30"/>
      <c r="N126" s="30"/>
      <c r="O126" s="31"/>
      <c r="P126" s="32"/>
      <c r="Q126" s="2"/>
      <c r="R126" s="10"/>
    </row>
    <row r="127" spans="1:18">
      <c r="A127" s="20" t="str">
        <f t="shared" si="54"/>
        <v>RESP</v>
      </c>
      <c r="B127" s="20" t="str">
        <f t="shared" si="55"/>
        <v>INIT</v>
      </c>
      <c r="C127" s="20" t="str">
        <f t="shared" si="56"/>
        <v/>
      </c>
      <c r="D127" s="2"/>
      <c r="E127" s="28" t="s">
        <v>1074</v>
      </c>
      <c r="F127" s="29" t="s">
        <v>1072</v>
      </c>
      <c r="G127" s="30" t="s">
        <v>218</v>
      </c>
      <c r="H127" s="30" t="s">
        <v>1075</v>
      </c>
      <c r="I127" s="30" t="s">
        <v>218</v>
      </c>
      <c r="J127" s="30"/>
      <c r="K127" s="30" t="s">
        <v>144</v>
      </c>
      <c r="L127" s="30"/>
      <c r="M127" s="30"/>
      <c r="N127" s="30"/>
      <c r="O127" s="31"/>
      <c r="P127" s="32"/>
      <c r="Q127" s="2"/>
      <c r="R127" s="10"/>
    </row>
    <row r="128" spans="1:18">
      <c r="A128" s="4"/>
      <c r="B128" s="4"/>
      <c r="C128" s="4"/>
      <c r="D128" s="5"/>
      <c r="E128" s="6"/>
      <c r="F128" s="21"/>
      <c r="G128" s="21"/>
      <c r="H128" s="21"/>
      <c r="I128" s="21"/>
      <c r="J128" s="21"/>
      <c r="K128" s="21"/>
      <c r="L128" s="21"/>
      <c r="M128" s="21"/>
      <c r="N128" s="21"/>
      <c r="O128" s="21"/>
      <c r="P128" s="21"/>
      <c r="Q128" s="5"/>
      <c r="R128" s="8"/>
    </row>
    <row r="129" spans="1:18">
      <c r="A129" s="4"/>
      <c r="B129" s="4"/>
      <c r="C129" s="4"/>
      <c r="D129" s="5"/>
      <c r="E129" s="6"/>
      <c r="F129" s="5"/>
      <c r="G129" s="5"/>
      <c r="H129" s="5"/>
      <c r="I129" s="5"/>
      <c r="J129" s="7"/>
      <c r="K129" s="7"/>
      <c r="L129" s="7"/>
      <c r="M129" s="7"/>
      <c r="N129" s="7"/>
      <c r="O129" s="5"/>
      <c r="Q129" s="5"/>
      <c r="R129" s="8"/>
    </row>
    <row r="130" spans="1:18" ht="27.5">
      <c r="A130" s="12" t="s">
        <v>210</v>
      </c>
      <c r="B130" s="13"/>
      <c r="C130" s="13"/>
      <c r="D130" s="2"/>
      <c r="E130" s="24" t="s">
        <v>655</v>
      </c>
      <c r="F130" s="34"/>
      <c r="G130" s="26" t="s">
        <v>214</v>
      </c>
      <c r="H130" s="26" t="s">
        <v>215</v>
      </c>
      <c r="I130" s="26" t="s">
        <v>219</v>
      </c>
      <c r="J130" s="26" t="s">
        <v>211</v>
      </c>
      <c r="K130" s="26" t="s">
        <v>216</v>
      </c>
      <c r="L130" s="26" t="s">
        <v>217</v>
      </c>
      <c r="M130" s="26" t="s">
        <v>220</v>
      </c>
      <c r="N130" s="26" t="s">
        <v>221</v>
      </c>
      <c r="O130" s="26" t="s">
        <v>208</v>
      </c>
      <c r="P130" s="27" t="s">
        <v>249</v>
      </c>
      <c r="Q130" s="2"/>
      <c r="R130" s="9" t="s">
        <v>213</v>
      </c>
    </row>
    <row r="131" spans="1:18">
      <c r="A131" s="20" t="str">
        <f t="shared" ref="A131:A135" si="57">IF(J131="","RESP","")</f>
        <v>RESP</v>
      </c>
      <c r="B131" s="20" t="str">
        <f t="shared" ref="B131:B135" si="58">IF(M131="","INIT","")</f>
        <v>INIT</v>
      </c>
      <c r="C131" s="20" t="str">
        <f t="shared" ref="C131:C135" si="59">IF(AND(J131="NO",O131=""),"CMTS","")</f>
        <v/>
      </c>
      <c r="D131" s="5"/>
      <c r="E131" s="28" t="s">
        <v>313</v>
      </c>
      <c r="F131" s="35" t="s">
        <v>5</v>
      </c>
      <c r="G131" s="30" t="s">
        <v>218</v>
      </c>
      <c r="H131" s="30" t="s">
        <v>218</v>
      </c>
      <c r="I131" s="30" t="s">
        <v>218</v>
      </c>
      <c r="J131" s="30"/>
      <c r="K131" s="30" t="s">
        <v>144</v>
      </c>
      <c r="L131" s="30"/>
      <c r="M131" s="30"/>
      <c r="N131" s="30"/>
      <c r="O131" s="31"/>
      <c r="P131" s="32"/>
      <c r="Q131" s="5"/>
      <c r="R131" s="10"/>
    </row>
    <row r="132" spans="1:18">
      <c r="A132" s="20" t="str">
        <f t="shared" si="57"/>
        <v>RESP</v>
      </c>
      <c r="B132" s="20" t="str">
        <f t="shared" si="58"/>
        <v>INIT</v>
      </c>
      <c r="C132" s="20" t="str">
        <f t="shared" si="59"/>
        <v/>
      </c>
      <c r="D132" s="5"/>
      <c r="E132" s="28" t="s">
        <v>314</v>
      </c>
      <c r="F132" s="35" t="s">
        <v>7</v>
      </c>
      <c r="G132" s="30" t="s">
        <v>218</v>
      </c>
      <c r="H132" s="30" t="s">
        <v>218</v>
      </c>
      <c r="I132" s="30" t="s">
        <v>218</v>
      </c>
      <c r="J132" s="30"/>
      <c r="K132" s="30" t="s">
        <v>194</v>
      </c>
      <c r="L132" s="30"/>
      <c r="M132" s="30"/>
      <c r="N132" s="30"/>
      <c r="O132" s="31"/>
      <c r="P132" s="32"/>
      <c r="Q132" s="5"/>
      <c r="R132" s="10"/>
    </row>
    <row r="133" spans="1:18">
      <c r="A133" s="20" t="str">
        <f t="shared" si="57"/>
        <v>RESP</v>
      </c>
      <c r="B133" s="20" t="str">
        <f t="shared" si="58"/>
        <v>INIT</v>
      </c>
      <c r="C133" s="20" t="str">
        <f t="shared" si="59"/>
        <v/>
      </c>
      <c r="D133" s="5"/>
      <c r="E133" s="28" t="s">
        <v>315</v>
      </c>
      <c r="F133" s="35" t="s">
        <v>8</v>
      </c>
      <c r="G133" s="30" t="s">
        <v>218</v>
      </c>
      <c r="H133" s="30" t="s">
        <v>218</v>
      </c>
      <c r="I133" s="30" t="s">
        <v>218</v>
      </c>
      <c r="J133" s="30"/>
      <c r="K133" s="30" t="s">
        <v>194</v>
      </c>
      <c r="L133" s="30"/>
      <c r="M133" s="30"/>
      <c r="N133" s="30"/>
      <c r="O133" s="31"/>
      <c r="P133" s="32"/>
      <c r="Q133" s="5"/>
      <c r="R133" s="10"/>
    </row>
    <row r="134" spans="1:18">
      <c r="A134" s="20" t="str">
        <f t="shared" si="57"/>
        <v>RESP</v>
      </c>
      <c r="B134" s="20" t="str">
        <f t="shared" si="58"/>
        <v>INIT</v>
      </c>
      <c r="C134" s="20" t="str">
        <f t="shared" si="59"/>
        <v/>
      </c>
      <c r="D134" s="5"/>
      <c r="E134" s="28" t="s">
        <v>316</v>
      </c>
      <c r="F134" s="35" t="s">
        <v>231</v>
      </c>
      <c r="G134" s="30" t="s">
        <v>218</v>
      </c>
      <c r="H134" s="30" t="s">
        <v>218</v>
      </c>
      <c r="I134" s="30" t="s">
        <v>218</v>
      </c>
      <c r="J134" s="30"/>
      <c r="K134" s="30" t="s">
        <v>144</v>
      </c>
      <c r="L134" s="30"/>
      <c r="M134" s="30"/>
      <c r="N134" s="30"/>
      <c r="O134" s="31"/>
      <c r="P134" s="32"/>
      <c r="Q134" s="5"/>
      <c r="R134" s="10"/>
    </row>
    <row r="135" spans="1:18">
      <c r="A135" s="20" t="str">
        <f t="shared" si="57"/>
        <v>RESP</v>
      </c>
      <c r="B135" s="20" t="str">
        <f t="shared" si="58"/>
        <v>INIT</v>
      </c>
      <c r="C135" s="20" t="str">
        <f t="shared" si="59"/>
        <v/>
      </c>
      <c r="D135" s="5"/>
      <c r="E135" s="28" t="s">
        <v>317</v>
      </c>
      <c r="F135" s="35" t="s">
        <v>9</v>
      </c>
      <c r="G135" s="30" t="s">
        <v>218</v>
      </c>
      <c r="H135" s="30" t="s">
        <v>218</v>
      </c>
      <c r="I135" s="30" t="s">
        <v>218</v>
      </c>
      <c r="J135" s="30"/>
      <c r="K135" s="30" t="s">
        <v>194</v>
      </c>
      <c r="L135" s="30"/>
      <c r="M135" s="30"/>
      <c r="N135" s="30"/>
      <c r="O135" s="31"/>
      <c r="P135" s="32"/>
      <c r="Q135" s="5"/>
      <c r="R135" s="10"/>
    </row>
    <row r="136" spans="1:18">
      <c r="A136" s="20" t="str">
        <f t="shared" ref="A136:A155" si="60">IF(J136="","RESP","")</f>
        <v>RESP</v>
      </c>
      <c r="B136" s="20" t="str">
        <f t="shared" ref="B136:B155" si="61">IF(M136="","INIT","")</f>
        <v>INIT</v>
      </c>
      <c r="C136" s="20" t="str">
        <f t="shared" ref="C136:C155" si="62">IF(AND(J136="NO",O136=""),"CMTS","")</f>
        <v/>
      </c>
      <c r="D136" s="5"/>
      <c r="E136" s="28" t="s">
        <v>318</v>
      </c>
      <c r="F136" s="35" t="s">
        <v>10</v>
      </c>
      <c r="G136" s="30" t="s">
        <v>218</v>
      </c>
      <c r="H136" s="30" t="s">
        <v>218</v>
      </c>
      <c r="I136" s="30" t="s">
        <v>218</v>
      </c>
      <c r="J136" s="30"/>
      <c r="K136" s="30" t="s">
        <v>194</v>
      </c>
      <c r="L136" s="30"/>
      <c r="M136" s="30"/>
      <c r="N136" s="30"/>
      <c r="O136" s="31"/>
      <c r="P136" s="32"/>
      <c r="Q136" s="5"/>
      <c r="R136" s="10"/>
    </row>
    <row r="137" spans="1:18">
      <c r="A137" s="20" t="str">
        <f t="shared" si="60"/>
        <v>RESP</v>
      </c>
      <c r="B137" s="20" t="str">
        <f t="shared" si="61"/>
        <v>INIT</v>
      </c>
      <c r="C137" s="20" t="str">
        <f t="shared" si="62"/>
        <v/>
      </c>
      <c r="D137" s="5"/>
      <c r="E137" s="28" t="s">
        <v>391</v>
      </c>
      <c r="F137" s="35" t="s">
        <v>11</v>
      </c>
      <c r="G137" s="30" t="s">
        <v>218</v>
      </c>
      <c r="H137" s="30" t="s">
        <v>218</v>
      </c>
      <c r="I137" s="30" t="s">
        <v>218</v>
      </c>
      <c r="J137" s="30"/>
      <c r="K137" s="30" t="s">
        <v>194</v>
      </c>
      <c r="L137" s="30"/>
      <c r="M137" s="30"/>
      <c r="N137" s="30"/>
      <c r="O137" s="31"/>
      <c r="P137" s="32"/>
      <c r="Q137" s="5"/>
      <c r="R137" s="10"/>
    </row>
    <row r="138" spans="1:18">
      <c r="A138" s="20" t="str">
        <f t="shared" si="60"/>
        <v>RESP</v>
      </c>
      <c r="B138" s="20" t="str">
        <f t="shared" si="61"/>
        <v>INIT</v>
      </c>
      <c r="C138" s="20" t="str">
        <f t="shared" si="62"/>
        <v/>
      </c>
      <c r="D138" s="5"/>
      <c r="E138" s="28" t="s">
        <v>392</v>
      </c>
      <c r="F138" s="35" t="s">
        <v>179</v>
      </c>
      <c r="G138" s="30" t="s">
        <v>218</v>
      </c>
      <c r="H138" s="30" t="s">
        <v>218</v>
      </c>
      <c r="I138" s="30" t="s">
        <v>218</v>
      </c>
      <c r="J138" s="30"/>
      <c r="K138" s="30" t="s">
        <v>194</v>
      </c>
      <c r="L138" s="30"/>
      <c r="M138" s="30"/>
      <c r="N138" s="30"/>
      <c r="O138" s="31"/>
      <c r="P138" s="32"/>
      <c r="Q138" s="5"/>
      <c r="R138" s="10"/>
    </row>
    <row r="139" spans="1:18">
      <c r="A139" s="20" t="str">
        <f t="shared" si="60"/>
        <v>RESP</v>
      </c>
      <c r="B139" s="20" t="str">
        <f t="shared" si="61"/>
        <v>INIT</v>
      </c>
      <c r="C139" s="20" t="str">
        <f t="shared" si="62"/>
        <v/>
      </c>
      <c r="D139" s="5"/>
      <c r="E139" s="28" t="s">
        <v>393</v>
      </c>
      <c r="F139" s="35" t="s">
        <v>13</v>
      </c>
      <c r="G139" s="30" t="s">
        <v>218</v>
      </c>
      <c r="H139" s="30" t="s">
        <v>218</v>
      </c>
      <c r="I139" s="30" t="s">
        <v>218</v>
      </c>
      <c r="J139" s="30"/>
      <c r="K139" s="30" t="s">
        <v>194</v>
      </c>
      <c r="L139" s="30"/>
      <c r="M139" s="30"/>
      <c r="N139" s="30"/>
      <c r="O139" s="31"/>
      <c r="P139" s="32"/>
      <c r="Q139" s="5"/>
      <c r="R139" s="10"/>
    </row>
    <row r="140" spans="1:18">
      <c r="A140" s="20" t="str">
        <f t="shared" si="60"/>
        <v>RESP</v>
      </c>
      <c r="B140" s="20" t="str">
        <f t="shared" si="61"/>
        <v>INIT</v>
      </c>
      <c r="C140" s="20" t="str">
        <f t="shared" si="62"/>
        <v/>
      </c>
      <c r="D140" s="5"/>
      <c r="E140" s="28" t="s">
        <v>394</v>
      </c>
      <c r="F140" s="36" t="s">
        <v>15</v>
      </c>
      <c r="G140" s="30" t="s">
        <v>218</v>
      </c>
      <c r="H140" s="30" t="s">
        <v>218</v>
      </c>
      <c r="I140" s="30" t="s">
        <v>218</v>
      </c>
      <c r="J140" s="30"/>
      <c r="K140" s="30" t="s">
        <v>194</v>
      </c>
      <c r="L140" s="30"/>
      <c r="M140" s="30"/>
      <c r="N140" s="30"/>
      <c r="O140" s="31"/>
      <c r="P140" s="32"/>
      <c r="Q140" s="5"/>
      <c r="R140" s="10"/>
    </row>
    <row r="141" spans="1:18" ht="52.5">
      <c r="A141" s="20" t="str">
        <f t="shared" si="60"/>
        <v>RESP</v>
      </c>
      <c r="B141" s="20" t="str">
        <f t="shared" si="61"/>
        <v>INIT</v>
      </c>
      <c r="C141" s="20" t="str">
        <f t="shared" si="62"/>
        <v/>
      </c>
      <c r="D141" s="5"/>
      <c r="E141" s="28" t="s">
        <v>395</v>
      </c>
      <c r="F141" s="36" t="s">
        <v>232</v>
      </c>
      <c r="G141" s="30" t="s">
        <v>218</v>
      </c>
      <c r="H141" s="30" t="s">
        <v>218</v>
      </c>
      <c r="I141" s="30" t="s">
        <v>218</v>
      </c>
      <c r="J141" s="30"/>
      <c r="K141" s="30" t="s">
        <v>194</v>
      </c>
      <c r="L141" s="30"/>
      <c r="M141" s="30"/>
      <c r="N141" s="30"/>
      <c r="O141" s="31"/>
      <c r="P141" s="32"/>
      <c r="Q141" s="5"/>
      <c r="R141" s="10"/>
    </row>
    <row r="142" spans="1:18">
      <c r="A142" s="20" t="str">
        <f t="shared" si="60"/>
        <v>RESP</v>
      </c>
      <c r="B142" s="20" t="str">
        <f t="shared" si="61"/>
        <v>INIT</v>
      </c>
      <c r="C142" s="20" t="str">
        <f t="shared" si="62"/>
        <v/>
      </c>
      <c r="D142" s="5"/>
      <c r="E142" s="28" t="s">
        <v>396</v>
      </c>
      <c r="F142" s="35" t="s">
        <v>722</v>
      </c>
      <c r="G142" s="30" t="s">
        <v>218</v>
      </c>
      <c r="H142" s="30" t="s">
        <v>218</v>
      </c>
      <c r="I142" s="30" t="s">
        <v>218</v>
      </c>
      <c r="J142" s="30"/>
      <c r="K142" s="30" t="s">
        <v>194</v>
      </c>
      <c r="L142" s="30"/>
      <c r="M142" s="30"/>
      <c r="N142" s="30"/>
      <c r="O142" s="31"/>
      <c r="P142" s="32"/>
      <c r="Q142" s="5"/>
      <c r="R142" s="10"/>
    </row>
    <row r="143" spans="1:18">
      <c r="A143" s="20" t="str">
        <f t="shared" si="60"/>
        <v>RESP</v>
      </c>
      <c r="B143" s="20" t="str">
        <f t="shared" si="61"/>
        <v>INIT</v>
      </c>
      <c r="C143" s="20" t="str">
        <f t="shared" si="62"/>
        <v/>
      </c>
      <c r="D143" s="5"/>
      <c r="E143" s="28" t="s">
        <v>397</v>
      </c>
      <c r="F143" s="35" t="s">
        <v>109</v>
      </c>
      <c r="G143" s="30" t="s">
        <v>223</v>
      </c>
      <c r="H143" s="30" t="s">
        <v>218</v>
      </c>
      <c r="I143" s="30" t="s">
        <v>218</v>
      </c>
      <c r="J143" s="30"/>
      <c r="K143" s="30" t="s">
        <v>194</v>
      </c>
      <c r="L143" s="30"/>
      <c r="M143" s="30"/>
      <c r="N143" s="30"/>
      <c r="O143" s="31"/>
      <c r="P143" s="32"/>
      <c r="Q143" s="5"/>
      <c r="R143" s="10"/>
    </row>
    <row r="144" spans="1:18">
      <c r="A144" s="20" t="str">
        <f t="shared" si="60"/>
        <v>RESP</v>
      </c>
      <c r="B144" s="20" t="str">
        <f t="shared" si="61"/>
        <v>INIT</v>
      </c>
      <c r="C144" s="20" t="str">
        <f t="shared" si="62"/>
        <v/>
      </c>
      <c r="D144" s="5"/>
      <c r="E144" s="28" t="s">
        <v>398</v>
      </c>
      <c r="F144" s="35" t="s">
        <v>50</v>
      </c>
      <c r="G144" s="30" t="s">
        <v>223</v>
      </c>
      <c r="H144" s="30" t="s">
        <v>218</v>
      </c>
      <c r="I144" s="30" t="s">
        <v>218</v>
      </c>
      <c r="J144" s="30"/>
      <c r="K144" s="30" t="s">
        <v>194</v>
      </c>
      <c r="L144" s="30"/>
      <c r="M144" s="30"/>
      <c r="N144" s="30"/>
      <c r="O144" s="31"/>
      <c r="P144" s="32"/>
      <c r="Q144" s="5"/>
      <c r="R144" s="10"/>
    </row>
    <row r="145" spans="1:18">
      <c r="A145" s="20" t="str">
        <f t="shared" si="60"/>
        <v>RESP</v>
      </c>
      <c r="B145" s="20" t="str">
        <f t="shared" si="61"/>
        <v>INIT</v>
      </c>
      <c r="C145" s="20" t="str">
        <f t="shared" si="62"/>
        <v/>
      </c>
      <c r="D145" s="5"/>
      <c r="E145" s="28" t="s">
        <v>399</v>
      </c>
      <c r="F145" s="35" t="s">
        <v>55</v>
      </c>
      <c r="G145" s="30" t="s">
        <v>223</v>
      </c>
      <c r="H145" s="30" t="s">
        <v>218</v>
      </c>
      <c r="I145" s="30" t="s">
        <v>218</v>
      </c>
      <c r="J145" s="30"/>
      <c r="K145" s="30" t="s">
        <v>194</v>
      </c>
      <c r="L145" s="30"/>
      <c r="M145" s="30"/>
      <c r="N145" s="30"/>
      <c r="O145" s="31"/>
      <c r="P145" s="32"/>
      <c r="Q145" s="5"/>
      <c r="R145" s="10"/>
    </row>
    <row r="146" spans="1:18">
      <c r="A146" s="20" t="str">
        <f t="shared" ref="A146" si="63">IF(J146="","RESP","")</f>
        <v>RESP</v>
      </c>
      <c r="B146" s="20" t="str">
        <f t="shared" ref="B146" si="64">IF(M146="","INIT","")</f>
        <v>INIT</v>
      </c>
      <c r="C146" s="20" t="str">
        <f t="shared" ref="C146" si="65">IF(AND(J146="NO",O146=""),"CMTS","")</f>
        <v/>
      </c>
      <c r="D146" s="5"/>
      <c r="E146" s="28" t="s">
        <v>400</v>
      </c>
      <c r="F146" s="35" t="s">
        <v>713</v>
      </c>
      <c r="G146" s="30" t="s">
        <v>223</v>
      </c>
      <c r="H146" s="30" t="s">
        <v>218</v>
      </c>
      <c r="I146" s="30" t="s">
        <v>218</v>
      </c>
      <c r="J146" s="30"/>
      <c r="K146" s="30" t="s">
        <v>144</v>
      </c>
      <c r="L146" s="30"/>
      <c r="M146" s="30"/>
      <c r="N146" s="30"/>
      <c r="O146" s="31"/>
      <c r="P146" s="32"/>
      <c r="Q146" s="5"/>
      <c r="R146" s="10"/>
    </row>
    <row r="147" spans="1:18">
      <c r="A147" s="20" t="str">
        <f t="shared" ref="A147:A149" si="66">IF(J147="","RESP","")</f>
        <v>RESP</v>
      </c>
      <c r="B147" s="20" t="str">
        <f t="shared" ref="B147:B149" si="67">IF(M147="","INIT","")</f>
        <v>INIT</v>
      </c>
      <c r="C147" s="20" t="str">
        <f t="shared" ref="C147:C149" si="68">IF(AND(J147="NO",O147=""),"CMTS","")</f>
        <v/>
      </c>
      <c r="D147" s="5"/>
      <c r="E147" s="28" t="s">
        <v>401</v>
      </c>
      <c r="F147" s="35" t="s">
        <v>714</v>
      </c>
      <c r="G147" s="30" t="s">
        <v>223</v>
      </c>
      <c r="H147" s="30" t="s">
        <v>218</v>
      </c>
      <c r="I147" s="30" t="s">
        <v>218</v>
      </c>
      <c r="J147" s="30"/>
      <c r="K147" s="30" t="s">
        <v>144</v>
      </c>
      <c r="L147" s="30"/>
      <c r="M147" s="30"/>
      <c r="N147" s="30"/>
      <c r="O147" s="31"/>
      <c r="P147" s="32"/>
      <c r="Q147" s="5"/>
      <c r="R147" s="10"/>
    </row>
    <row r="148" spans="1:18">
      <c r="A148" s="20" t="str">
        <f t="shared" si="66"/>
        <v>RESP</v>
      </c>
      <c r="B148" s="20" t="str">
        <f t="shared" si="67"/>
        <v>INIT</v>
      </c>
      <c r="C148" s="20" t="str">
        <f t="shared" si="68"/>
        <v/>
      </c>
      <c r="D148" s="5"/>
      <c r="E148" s="28" t="s">
        <v>402</v>
      </c>
      <c r="F148" s="35" t="s">
        <v>715</v>
      </c>
      <c r="G148" s="30" t="s">
        <v>223</v>
      </c>
      <c r="H148" s="30" t="s">
        <v>218</v>
      </c>
      <c r="I148" s="30" t="s">
        <v>218</v>
      </c>
      <c r="J148" s="30"/>
      <c r="K148" s="30" t="s">
        <v>144</v>
      </c>
      <c r="L148" s="30"/>
      <c r="M148" s="30"/>
      <c r="N148" s="30"/>
      <c r="O148" s="31"/>
      <c r="P148" s="32"/>
      <c r="Q148" s="5"/>
      <c r="R148" s="10"/>
    </row>
    <row r="149" spans="1:18">
      <c r="A149" s="20" t="str">
        <f t="shared" si="66"/>
        <v>RESP</v>
      </c>
      <c r="B149" s="20" t="str">
        <f t="shared" si="67"/>
        <v>INIT</v>
      </c>
      <c r="C149" s="20" t="str">
        <f t="shared" si="68"/>
        <v/>
      </c>
      <c r="D149" s="5"/>
      <c r="E149" s="28" t="s">
        <v>583</v>
      </c>
      <c r="F149" s="35" t="s">
        <v>716</v>
      </c>
      <c r="G149" s="30" t="s">
        <v>223</v>
      </c>
      <c r="H149" s="30" t="s">
        <v>218</v>
      </c>
      <c r="I149" s="30" t="s">
        <v>218</v>
      </c>
      <c r="J149" s="30"/>
      <c r="K149" s="30" t="s">
        <v>144</v>
      </c>
      <c r="L149" s="30"/>
      <c r="M149" s="30"/>
      <c r="N149" s="30"/>
      <c r="O149" s="31"/>
      <c r="P149" s="32"/>
      <c r="Q149" s="5"/>
      <c r="R149" s="10"/>
    </row>
    <row r="150" spans="1:18" ht="22" customHeight="1">
      <c r="A150" s="20" t="str">
        <f t="shared" ref="A150" si="69">IF(J150="","RESP","")</f>
        <v>RESP</v>
      </c>
      <c r="B150" s="20" t="str">
        <f t="shared" ref="B150" si="70">IF(M150="","INIT","")</f>
        <v>INIT</v>
      </c>
      <c r="C150" s="20" t="str">
        <f t="shared" ref="C150" si="71">IF(AND(J150="NO",O150=""),"CMTS","")</f>
        <v/>
      </c>
      <c r="D150" s="5"/>
      <c r="E150" s="28" t="s">
        <v>584</v>
      </c>
      <c r="F150" s="36" t="s">
        <v>719</v>
      </c>
      <c r="G150" s="30" t="s">
        <v>223</v>
      </c>
      <c r="H150" s="30" t="s">
        <v>218</v>
      </c>
      <c r="I150" s="30" t="s">
        <v>218</v>
      </c>
      <c r="J150" s="30"/>
      <c r="K150" s="30" t="s">
        <v>194</v>
      </c>
      <c r="L150" s="30"/>
      <c r="M150" s="30"/>
      <c r="N150" s="30"/>
      <c r="O150" s="31"/>
      <c r="P150" s="32"/>
      <c r="Q150" s="5"/>
      <c r="R150" s="33" t="s">
        <v>647</v>
      </c>
    </row>
    <row r="151" spans="1:18" ht="26.5">
      <c r="A151" s="20" t="str">
        <f t="shared" ref="A151" si="72">IF(J151="","RESP","")</f>
        <v>RESP</v>
      </c>
      <c r="B151" s="20" t="str">
        <f t="shared" ref="B151" si="73">IF(M151="","INIT","")</f>
        <v>INIT</v>
      </c>
      <c r="C151" s="20" t="str">
        <f t="shared" ref="C151" si="74">IF(AND(J151="NO",O151=""),"CMTS","")</f>
        <v/>
      </c>
      <c r="D151" s="5"/>
      <c r="E151" s="28" t="s">
        <v>585</v>
      </c>
      <c r="F151" s="36" t="s">
        <v>720</v>
      </c>
      <c r="G151" s="30" t="s">
        <v>223</v>
      </c>
      <c r="H151" s="30" t="s">
        <v>218</v>
      </c>
      <c r="I151" s="30" t="s">
        <v>218</v>
      </c>
      <c r="J151" s="30"/>
      <c r="K151" s="30" t="s">
        <v>194</v>
      </c>
      <c r="L151" s="30"/>
      <c r="M151" s="30"/>
      <c r="N151" s="30"/>
      <c r="O151" s="31"/>
      <c r="P151" s="32"/>
      <c r="Q151" s="5"/>
      <c r="R151" s="33" t="s">
        <v>647</v>
      </c>
    </row>
    <row r="152" spans="1:18">
      <c r="A152" s="20" t="str">
        <f t="shared" ref="A152" si="75">IF(J152="","RESP","")</f>
        <v>RESP</v>
      </c>
      <c r="B152" s="20" t="str">
        <f t="shared" ref="B152" si="76">IF(M152="","INIT","")</f>
        <v>INIT</v>
      </c>
      <c r="C152" s="20" t="str">
        <f t="shared" ref="C152" si="77">IF(AND(J152="NO",O152=""),"CMTS","")</f>
        <v/>
      </c>
      <c r="D152" s="5"/>
      <c r="E152" s="28" t="s">
        <v>586</v>
      </c>
      <c r="F152" s="36" t="s">
        <v>727</v>
      </c>
      <c r="G152" s="30" t="s">
        <v>223</v>
      </c>
      <c r="H152" s="30" t="s">
        <v>218</v>
      </c>
      <c r="I152" s="30" t="s">
        <v>218</v>
      </c>
      <c r="J152" s="30"/>
      <c r="K152" s="30" t="s">
        <v>144</v>
      </c>
      <c r="L152" s="30"/>
      <c r="M152" s="30"/>
      <c r="N152" s="30"/>
      <c r="O152" s="31"/>
      <c r="P152" s="32"/>
      <c r="Q152" s="5"/>
      <c r="R152" s="10"/>
    </row>
    <row r="153" spans="1:18">
      <c r="A153" s="20" t="str">
        <f t="shared" ref="A153" si="78">IF(J153="","RESP","")</f>
        <v>RESP</v>
      </c>
      <c r="B153" s="20" t="str">
        <f t="shared" ref="B153" si="79">IF(M153="","INIT","")</f>
        <v>INIT</v>
      </c>
      <c r="C153" s="20" t="str">
        <f t="shared" ref="C153" si="80">IF(AND(J153="NO",O153=""),"CMTS","")</f>
        <v/>
      </c>
      <c r="D153" s="5"/>
      <c r="E153" s="28" t="s">
        <v>587</v>
      </c>
      <c r="F153" s="36" t="s">
        <v>728</v>
      </c>
      <c r="G153" s="30" t="s">
        <v>223</v>
      </c>
      <c r="H153" s="30" t="s">
        <v>218</v>
      </c>
      <c r="I153" s="30" t="s">
        <v>218</v>
      </c>
      <c r="J153" s="30"/>
      <c r="K153" s="30" t="s">
        <v>194</v>
      </c>
      <c r="L153" s="30"/>
      <c r="M153" s="30"/>
      <c r="N153" s="30"/>
      <c r="O153" s="31"/>
      <c r="P153" s="32"/>
      <c r="Q153" s="5"/>
      <c r="R153" s="10"/>
    </row>
    <row r="154" spans="1:18">
      <c r="A154" s="20" t="str">
        <f t="shared" si="60"/>
        <v>RESP</v>
      </c>
      <c r="B154" s="20" t="str">
        <f t="shared" si="61"/>
        <v>INIT</v>
      </c>
      <c r="C154" s="20" t="str">
        <f t="shared" si="62"/>
        <v/>
      </c>
      <c r="D154" s="5"/>
      <c r="E154" s="28" t="s">
        <v>588</v>
      </c>
      <c r="F154" s="36" t="s">
        <v>110</v>
      </c>
      <c r="G154" s="30" t="s">
        <v>223</v>
      </c>
      <c r="H154" s="30" t="s">
        <v>218</v>
      </c>
      <c r="I154" s="30" t="s">
        <v>218</v>
      </c>
      <c r="J154" s="30"/>
      <c r="K154" s="30" t="s">
        <v>194</v>
      </c>
      <c r="L154" s="30"/>
      <c r="M154" s="30"/>
      <c r="N154" s="30"/>
      <c r="O154" s="31"/>
      <c r="P154" s="32"/>
      <c r="Q154" s="5"/>
      <c r="R154" s="10"/>
    </row>
    <row r="155" spans="1:18">
      <c r="A155" s="20" t="str">
        <f t="shared" si="60"/>
        <v>RESP</v>
      </c>
      <c r="B155" s="20" t="str">
        <f t="shared" si="61"/>
        <v>INIT</v>
      </c>
      <c r="C155" s="20" t="str">
        <f t="shared" si="62"/>
        <v/>
      </c>
      <c r="D155" s="5"/>
      <c r="E155" s="28" t="s">
        <v>725</v>
      </c>
      <c r="F155" s="36" t="s">
        <v>40</v>
      </c>
      <c r="G155" s="30" t="s">
        <v>223</v>
      </c>
      <c r="H155" s="30" t="s">
        <v>218</v>
      </c>
      <c r="I155" s="30" t="s">
        <v>218</v>
      </c>
      <c r="J155" s="30"/>
      <c r="K155" s="30" t="s">
        <v>194</v>
      </c>
      <c r="L155" s="30"/>
      <c r="M155" s="30"/>
      <c r="N155" s="30"/>
      <c r="O155" s="31"/>
      <c r="P155" s="32"/>
      <c r="Q155" s="5"/>
      <c r="R155" s="10"/>
    </row>
    <row r="156" spans="1:18">
      <c r="A156" s="20" t="str">
        <f t="shared" ref="A156:A161" si="81">IF(J156="","RESP","")</f>
        <v>RESP</v>
      </c>
      <c r="B156" s="20" t="str">
        <f t="shared" ref="B156:B161" si="82">IF(M156="","INIT","")</f>
        <v>INIT</v>
      </c>
      <c r="C156" s="20" t="str">
        <f t="shared" ref="C156:C161" si="83">IF(AND(J156="NO",O156=""),"CMTS","")</f>
        <v/>
      </c>
      <c r="E156" s="37" t="s">
        <v>656</v>
      </c>
      <c r="F156" s="38" t="s">
        <v>18</v>
      </c>
      <c r="G156" s="30" t="s">
        <v>218</v>
      </c>
      <c r="H156" s="30" t="s">
        <v>218</v>
      </c>
      <c r="I156" s="30" t="s">
        <v>225</v>
      </c>
      <c r="J156" s="30"/>
      <c r="K156" s="30" t="s">
        <v>144</v>
      </c>
      <c r="L156" s="30"/>
      <c r="M156" s="30"/>
      <c r="N156" s="30"/>
      <c r="O156" s="31"/>
      <c r="P156" s="32"/>
      <c r="Q156" s="5"/>
      <c r="R156" s="10"/>
    </row>
    <row r="157" spans="1:18">
      <c r="A157" s="20" t="str">
        <f t="shared" si="81"/>
        <v>RESP</v>
      </c>
      <c r="B157" s="20" t="str">
        <f t="shared" si="82"/>
        <v>INIT</v>
      </c>
      <c r="C157" s="20" t="str">
        <f t="shared" si="83"/>
        <v/>
      </c>
      <c r="E157" s="37" t="s">
        <v>657</v>
      </c>
      <c r="F157" s="38" t="s">
        <v>19</v>
      </c>
      <c r="G157" s="30" t="s">
        <v>218</v>
      </c>
      <c r="H157" s="30" t="s">
        <v>218</v>
      </c>
      <c r="I157" s="30" t="s">
        <v>225</v>
      </c>
      <c r="J157" s="30"/>
      <c r="K157" s="30" t="s">
        <v>144</v>
      </c>
      <c r="L157" s="30"/>
      <c r="M157" s="30"/>
      <c r="N157" s="30"/>
      <c r="O157" s="31"/>
      <c r="P157" s="32"/>
      <c r="Q157" s="5"/>
      <c r="R157" s="10"/>
    </row>
    <row r="158" spans="1:18">
      <c r="A158" s="20" t="str">
        <f t="shared" si="81"/>
        <v>RESP</v>
      </c>
      <c r="B158" s="20" t="str">
        <f t="shared" si="82"/>
        <v>INIT</v>
      </c>
      <c r="C158" s="20" t="str">
        <f t="shared" si="83"/>
        <v/>
      </c>
      <c r="E158" s="37" t="s">
        <v>658</v>
      </c>
      <c r="F158" s="38" t="s">
        <v>21</v>
      </c>
      <c r="G158" s="30" t="s">
        <v>218</v>
      </c>
      <c r="H158" s="30" t="s">
        <v>218</v>
      </c>
      <c r="I158" s="30" t="s">
        <v>225</v>
      </c>
      <c r="J158" s="30"/>
      <c r="K158" s="30" t="s">
        <v>194</v>
      </c>
      <c r="L158" s="30"/>
      <c r="M158" s="30"/>
      <c r="N158" s="30"/>
      <c r="O158" s="31"/>
      <c r="P158" s="32"/>
      <c r="Q158" s="5"/>
      <c r="R158" s="10"/>
    </row>
    <row r="159" spans="1:18">
      <c r="A159" s="20" t="str">
        <f t="shared" si="81"/>
        <v>RESP</v>
      </c>
      <c r="B159" s="20" t="str">
        <f t="shared" si="82"/>
        <v>INIT</v>
      </c>
      <c r="C159" s="20" t="str">
        <f t="shared" si="83"/>
        <v/>
      </c>
      <c r="E159" s="37" t="s">
        <v>659</v>
      </c>
      <c r="F159" s="38" t="s">
        <v>57</v>
      </c>
      <c r="G159" s="30" t="s">
        <v>218</v>
      </c>
      <c r="H159" s="30" t="s">
        <v>218</v>
      </c>
      <c r="I159" s="30" t="s">
        <v>225</v>
      </c>
      <c r="J159" s="30"/>
      <c r="K159" s="30" t="s">
        <v>144</v>
      </c>
      <c r="L159" s="30"/>
      <c r="M159" s="30"/>
      <c r="N159" s="30"/>
      <c r="O159" s="31"/>
      <c r="P159" s="32"/>
      <c r="Q159" s="5"/>
      <c r="R159" s="10"/>
    </row>
    <row r="160" spans="1:18">
      <c r="A160" s="20" t="str">
        <f t="shared" si="81"/>
        <v>RESP</v>
      </c>
      <c r="B160" s="20" t="str">
        <f t="shared" si="82"/>
        <v>INIT</v>
      </c>
      <c r="C160" s="20" t="str">
        <f t="shared" si="83"/>
        <v/>
      </c>
      <c r="E160" s="37" t="s">
        <v>660</v>
      </c>
      <c r="F160" s="38" t="s">
        <v>58</v>
      </c>
      <c r="G160" s="30" t="s">
        <v>218</v>
      </c>
      <c r="H160" s="30" t="s">
        <v>218</v>
      </c>
      <c r="I160" s="30" t="s">
        <v>225</v>
      </c>
      <c r="J160" s="30"/>
      <c r="K160" s="30" t="s">
        <v>144</v>
      </c>
      <c r="L160" s="30"/>
      <c r="M160" s="30"/>
      <c r="N160" s="30"/>
      <c r="O160" s="31"/>
      <c r="P160" s="32"/>
      <c r="Q160" s="5"/>
      <c r="R160" s="10"/>
    </row>
    <row r="161" spans="1:18" ht="39.5">
      <c r="A161" s="20" t="str">
        <f t="shared" si="81"/>
        <v>RESP</v>
      </c>
      <c r="B161" s="20" t="str">
        <f t="shared" si="82"/>
        <v>INIT</v>
      </c>
      <c r="C161" s="20" t="str">
        <f t="shared" si="83"/>
        <v/>
      </c>
      <c r="E161" s="37" t="s">
        <v>661</v>
      </c>
      <c r="F161" s="39" t="s">
        <v>59</v>
      </c>
      <c r="G161" s="30" t="s">
        <v>218</v>
      </c>
      <c r="H161" s="30" t="s">
        <v>218</v>
      </c>
      <c r="I161" s="30" t="s">
        <v>225</v>
      </c>
      <c r="J161" s="30"/>
      <c r="K161" s="30" t="s">
        <v>194</v>
      </c>
      <c r="L161" s="30"/>
      <c r="M161" s="30"/>
      <c r="N161" s="30"/>
      <c r="O161" s="31"/>
      <c r="P161" s="32"/>
      <c r="Q161" s="5"/>
      <c r="R161" s="10"/>
    </row>
    <row r="162" spans="1:18" ht="26.5">
      <c r="A162" s="20" t="str">
        <f t="shared" ref="A162" si="84">IF(J162="","RESP","")</f>
        <v>RESP</v>
      </c>
      <c r="B162" s="20" t="str">
        <f t="shared" ref="B162" si="85">IF(M162="","INIT","")</f>
        <v>INIT</v>
      </c>
      <c r="C162" s="20" t="str">
        <f t="shared" ref="C162" si="86">IF(AND(J162="NO",O162=""),"CMTS","")</f>
        <v/>
      </c>
      <c r="E162" s="37" t="s">
        <v>729</v>
      </c>
      <c r="F162" s="39" t="s">
        <v>731</v>
      </c>
      <c r="G162" s="30" t="s">
        <v>218</v>
      </c>
      <c r="H162" s="30" t="s">
        <v>218</v>
      </c>
      <c r="I162" s="30" t="s">
        <v>225</v>
      </c>
      <c r="J162" s="30"/>
      <c r="K162" s="30" t="s">
        <v>194</v>
      </c>
      <c r="L162" s="30"/>
      <c r="M162" s="30"/>
      <c r="N162" s="30"/>
      <c r="O162" s="31"/>
      <c r="P162" s="32"/>
      <c r="Q162" s="5"/>
      <c r="R162" s="10"/>
    </row>
    <row r="163" spans="1:18" ht="26.5">
      <c r="A163" s="20" t="str">
        <f t="shared" ref="A163" si="87">IF(J163="","RESP","")</f>
        <v>RESP</v>
      </c>
      <c r="B163" s="20" t="str">
        <f t="shared" ref="B163" si="88">IF(M163="","INIT","")</f>
        <v>INIT</v>
      </c>
      <c r="C163" s="20" t="str">
        <f t="shared" ref="C163" si="89">IF(AND(J163="NO",O163=""),"CMTS","")</f>
        <v/>
      </c>
      <c r="E163" s="37" t="s">
        <v>730</v>
      </c>
      <c r="F163" s="39" t="s">
        <v>732</v>
      </c>
      <c r="G163" s="30" t="s">
        <v>218</v>
      </c>
      <c r="H163" s="30" t="s">
        <v>218</v>
      </c>
      <c r="I163" s="30" t="s">
        <v>225</v>
      </c>
      <c r="J163" s="30"/>
      <c r="K163" s="30" t="s">
        <v>194</v>
      </c>
      <c r="L163" s="30"/>
      <c r="M163" s="30"/>
      <c r="N163" s="30"/>
      <c r="O163" s="31"/>
      <c r="P163" s="32"/>
      <c r="Q163" s="5"/>
      <c r="R163" s="10"/>
    </row>
    <row r="164" spans="1:18">
      <c r="A164" s="20" t="str">
        <f t="shared" ref="A164" si="90">IF(J164="","RESP","")</f>
        <v>RESP</v>
      </c>
      <c r="B164" s="20" t="str">
        <f t="shared" ref="B164" si="91">IF(M164="","INIT","")</f>
        <v>INIT</v>
      </c>
      <c r="C164" s="20" t="str">
        <f t="shared" ref="C164" si="92">IF(AND(J164="NO",O164=""),"CMTS","")</f>
        <v/>
      </c>
      <c r="E164" s="37" t="s">
        <v>733</v>
      </c>
      <c r="F164" s="39" t="s">
        <v>734</v>
      </c>
      <c r="G164" s="30" t="s">
        <v>218</v>
      </c>
      <c r="H164" s="30" t="s">
        <v>218</v>
      </c>
      <c r="I164" s="30" t="s">
        <v>225</v>
      </c>
      <c r="J164" s="30"/>
      <c r="K164" s="30" t="s">
        <v>194</v>
      </c>
      <c r="L164" s="30"/>
      <c r="M164" s="30"/>
      <c r="N164" s="30"/>
      <c r="O164" s="31"/>
      <c r="P164" s="32"/>
      <c r="Q164" s="5"/>
      <c r="R164" s="10"/>
    </row>
    <row r="167" spans="1:18" ht="27.5">
      <c r="A167" s="12" t="s">
        <v>210</v>
      </c>
      <c r="B167" s="13"/>
      <c r="C167" s="13"/>
      <c r="D167" s="2"/>
      <c r="E167" s="22" t="s">
        <v>712</v>
      </c>
      <c r="F167" s="23"/>
      <c r="G167" s="40" t="s">
        <v>214</v>
      </c>
      <c r="H167" s="40" t="s">
        <v>215</v>
      </c>
      <c r="I167" s="40" t="s">
        <v>219</v>
      </c>
      <c r="J167" s="40" t="s">
        <v>211</v>
      </c>
      <c r="K167" s="40" t="s">
        <v>216</v>
      </c>
      <c r="L167" s="40" t="s">
        <v>217</v>
      </c>
      <c r="M167" s="40" t="s">
        <v>220</v>
      </c>
      <c r="N167" s="40" t="s">
        <v>221</v>
      </c>
      <c r="O167" s="40" t="s">
        <v>208</v>
      </c>
      <c r="P167" s="41" t="s">
        <v>249</v>
      </c>
      <c r="Q167" s="2"/>
      <c r="R167" s="9" t="s">
        <v>213</v>
      </c>
    </row>
    <row r="168" spans="1:18">
      <c r="A168" s="20" t="str">
        <f t="shared" ref="A168:A191" si="93">IF(J168="","RESP","")</f>
        <v>RESP</v>
      </c>
      <c r="B168" s="20" t="str">
        <f t="shared" ref="B168:B191" si="94">IF(M168="","INIT","")</f>
        <v>INIT</v>
      </c>
      <c r="C168" s="20" t="str">
        <f t="shared" ref="C168:C191" si="95">IF(AND(J168="NO",O168=""),"CMTS","")</f>
        <v/>
      </c>
      <c r="D168" s="5"/>
      <c r="E168" s="28" t="s">
        <v>403</v>
      </c>
      <c r="F168" s="36" t="s">
        <v>6</v>
      </c>
      <c r="G168" s="30" t="s">
        <v>218</v>
      </c>
      <c r="H168" s="30" t="s">
        <v>254</v>
      </c>
      <c r="I168" s="30" t="s">
        <v>227</v>
      </c>
      <c r="J168" s="30"/>
      <c r="K168" s="30" t="s">
        <v>194</v>
      </c>
      <c r="L168" s="30"/>
      <c r="M168" s="30"/>
      <c r="N168" s="30"/>
      <c r="O168" s="31"/>
      <c r="P168" s="32"/>
      <c r="Q168" s="5"/>
      <c r="R168" s="10"/>
    </row>
    <row r="169" spans="1:18">
      <c r="A169" s="20" t="str">
        <f t="shared" si="93"/>
        <v>RESP</v>
      </c>
      <c r="B169" s="20" t="str">
        <f t="shared" si="94"/>
        <v>INIT</v>
      </c>
      <c r="C169" s="20" t="str">
        <f t="shared" si="95"/>
        <v/>
      </c>
      <c r="D169" s="5"/>
      <c r="E169" s="28" t="s">
        <v>404</v>
      </c>
      <c r="F169" s="36" t="s">
        <v>198</v>
      </c>
      <c r="G169" s="30" t="s">
        <v>218</v>
      </c>
      <c r="H169" s="30" t="s">
        <v>254</v>
      </c>
      <c r="I169" s="30" t="s">
        <v>227</v>
      </c>
      <c r="J169" s="30"/>
      <c r="K169" s="30" t="s">
        <v>144</v>
      </c>
      <c r="L169" s="30"/>
      <c r="M169" s="30"/>
      <c r="N169" s="30"/>
      <c r="O169" s="31"/>
      <c r="P169" s="32"/>
      <c r="Q169" s="5"/>
      <c r="R169" s="10"/>
    </row>
    <row r="170" spans="1:18">
      <c r="A170" s="20" t="str">
        <f t="shared" si="93"/>
        <v>RESP</v>
      </c>
      <c r="B170" s="20" t="str">
        <f t="shared" si="94"/>
        <v>INIT</v>
      </c>
      <c r="C170" s="20" t="str">
        <f t="shared" si="95"/>
        <v/>
      </c>
      <c r="D170" s="5"/>
      <c r="E170" s="28" t="s">
        <v>405</v>
      </c>
      <c r="F170" s="36" t="s">
        <v>54</v>
      </c>
      <c r="G170" s="30" t="s">
        <v>218</v>
      </c>
      <c r="H170" s="30" t="s">
        <v>254</v>
      </c>
      <c r="I170" s="30" t="s">
        <v>227</v>
      </c>
      <c r="J170" s="30"/>
      <c r="K170" s="30" t="s">
        <v>194</v>
      </c>
      <c r="L170" s="30"/>
      <c r="M170" s="30"/>
      <c r="N170" s="30"/>
      <c r="O170" s="31"/>
      <c r="P170" s="32"/>
      <c r="Q170" s="5"/>
      <c r="R170" s="10"/>
    </row>
    <row r="171" spans="1:18">
      <c r="A171" s="20" t="str">
        <f t="shared" si="93"/>
        <v>RESP</v>
      </c>
      <c r="B171" s="20" t="str">
        <f t="shared" si="94"/>
        <v>INIT</v>
      </c>
      <c r="C171" s="20" t="str">
        <f t="shared" si="95"/>
        <v/>
      </c>
      <c r="D171" s="5"/>
      <c r="E171" s="28" t="s">
        <v>662</v>
      </c>
      <c r="F171" s="36" t="s">
        <v>14</v>
      </c>
      <c r="G171" s="30" t="s">
        <v>218</v>
      </c>
      <c r="H171" s="30" t="s">
        <v>254</v>
      </c>
      <c r="I171" s="30" t="s">
        <v>227</v>
      </c>
      <c r="J171" s="30"/>
      <c r="K171" s="30" t="s">
        <v>194</v>
      </c>
      <c r="L171" s="30"/>
      <c r="M171" s="30"/>
      <c r="N171" s="30"/>
      <c r="O171" s="31"/>
      <c r="P171" s="32"/>
      <c r="Q171" s="5"/>
      <c r="R171" s="10"/>
    </row>
    <row r="172" spans="1:18" ht="39.5">
      <c r="A172" s="20" t="str">
        <f t="shared" si="93"/>
        <v>RESP</v>
      </c>
      <c r="B172" s="20" t="str">
        <f t="shared" si="94"/>
        <v>INIT</v>
      </c>
      <c r="C172" s="20" t="str">
        <f t="shared" si="95"/>
        <v/>
      </c>
      <c r="D172" s="5"/>
      <c r="E172" s="28" t="s">
        <v>663</v>
      </c>
      <c r="F172" s="36" t="s">
        <v>167</v>
      </c>
      <c r="G172" s="30" t="s">
        <v>218</v>
      </c>
      <c r="H172" s="30" t="s">
        <v>254</v>
      </c>
      <c r="I172" s="30" t="s">
        <v>227</v>
      </c>
      <c r="J172" s="30"/>
      <c r="K172" s="30" t="s">
        <v>194</v>
      </c>
      <c r="L172" s="30"/>
      <c r="M172" s="30"/>
      <c r="N172" s="30"/>
      <c r="O172" s="31"/>
      <c r="P172" s="32"/>
      <c r="Q172" s="5"/>
      <c r="R172" s="10"/>
    </row>
    <row r="173" spans="1:18">
      <c r="A173" s="20" t="str">
        <f t="shared" si="93"/>
        <v>RESP</v>
      </c>
      <c r="B173" s="20" t="str">
        <f t="shared" si="94"/>
        <v>INIT</v>
      </c>
      <c r="C173" s="20" t="str">
        <f t="shared" si="95"/>
        <v/>
      </c>
      <c r="D173" s="5"/>
      <c r="E173" s="28" t="s">
        <v>664</v>
      </c>
      <c r="F173" s="36" t="s">
        <v>51</v>
      </c>
      <c r="G173" s="30" t="s">
        <v>218</v>
      </c>
      <c r="H173" s="30" t="s">
        <v>254</v>
      </c>
      <c r="I173" s="30" t="s">
        <v>227</v>
      </c>
      <c r="J173" s="30"/>
      <c r="K173" s="30" t="s">
        <v>194</v>
      </c>
      <c r="L173" s="30"/>
      <c r="M173" s="30"/>
      <c r="N173" s="30"/>
      <c r="O173" s="31"/>
      <c r="P173" s="32"/>
      <c r="Q173" s="5"/>
      <c r="R173" s="10"/>
    </row>
    <row r="174" spans="1:18">
      <c r="A174" s="20" t="str">
        <f t="shared" si="93"/>
        <v>RESP</v>
      </c>
      <c r="B174" s="20" t="str">
        <f t="shared" si="94"/>
        <v>INIT</v>
      </c>
      <c r="C174" s="20" t="str">
        <f t="shared" si="95"/>
        <v/>
      </c>
      <c r="D174" s="5"/>
      <c r="E174" s="28" t="s">
        <v>665</v>
      </c>
      <c r="F174" s="36" t="s">
        <v>52</v>
      </c>
      <c r="G174" s="30" t="s">
        <v>218</v>
      </c>
      <c r="H174" s="30" t="s">
        <v>254</v>
      </c>
      <c r="I174" s="30" t="s">
        <v>227</v>
      </c>
      <c r="J174" s="30"/>
      <c r="K174" s="30" t="s">
        <v>194</v>
      </c>
      <c r="L174" s="30"/>
      <c r="M174" s="30"/>
      <c r="N174" s="30"/>
      <c r="O174" s="31"/>
      <c r="P174" s="32"/>
      <c r="Q174" s="5"/>
      <c r="R174" s="10"/>
    </row>
    <row r="175" spans="1:18">
      <c r="A175" s="20" t="str">
        <f t="shared" si="93"/>
        <v>RESP</v>
      </c>
      <c r="B175" s="20" t="str">
        <f t="shared" si="94"/>
        <v>INIT</v>
      </c>
      <c r="C175" s="20" t="str">
        <f t="shared" si="95"/>
        <v/>
      </c>
      <c r="D175" s="5"/>
      <c r="E175" s="28" t="s">
        <v>666</v>
      </c>
      <c r="F175" s="36" t="s">
        <v>53</v>
      </c>
      <c r="G175" s="30" t="s">
        <v>218</v>
      </c>
      <c r="H175" s="30" t="s">
        <v>254</v>
      </c>
      <c r="I175" s="30" t="s">
        <v>227</v>
      </c>
      <c r="J175" s="30"/>
      <c r="K175" s="30" t="s">
        <v>194</v>
      </c>
      <c r="L175" s="30"/>
      <c r="M175" s="30"/>
      <c r="N175" s="30"/>
      <c r="O175" s="31"/>
      <c r="P175" s="32"/>
      <c r="Q175" s="5"/>
      <c r="R175" s="10"/>
    </row>
    <row r="176" spans="1:18" ht="26.5">
      <c r="A176" s="20" t="str">
        <f t="shared" si="93"/>
        <v>RESP</v>
      </c>
      <c r="B176" s="20" t="str">
        <f t="shared" si="94"/>
        <v>INIT</v>
      </c>
      <c r="C176" s="20" t="str">
        <f t="shared" si="95"/>
        <v/>
      </c>
      <c r="D176" s="5"/>
      <c r="E176" s="28" t="s">
        <v>667</v>
      </c>
      <c r="F176" s="36" t="s">
        <v>56</v>
      </c>
      <c r="G176" s="30" t="s">
        <v>218</v>
      </c>
      <c r="H176" s="30" t="s">
        <v>254</v>
      </c>
      <c r="I176" s="30" t="s">
        <v>227</v>
      </c>
      <c r="J176" s="30"/>
      <c r="K176" s="30" t="s">
        <v>194</v>
      </c>
      <c r="L176" s="30"/>
      <c r="M176" s="30"/>
      <c r="N176" s="30"/>
      <c r="O176" s="31"/>
      <c r="P176" s="32"/>
      <c r="Q176" s="5"/>
      <c r="R176" s="10"/>
    </row>
    <row r="177" spans="1:18" ht="26.5">
      <c r="A177" s="20" t="str">
        <f t="shared" si="93"/>
        <v>RESP</v>
      </c>
      <c r="B177" s="20" t="str">
        <f t="shared" si="94"/>
        <v>INIT</v>
      </c>
      <c r="C177" s="20" t="str">
        <f t="shared" si="95"/>
        <v/>
      </c>
      <c r="D177" s="5"/>
      <c r="E177" s="28" t="s">
        <v>668</v>
      </c>
      <c r="F177" s="36" t="s">
        <v>176</v>
      </c>
      <c r="G177" s="30" t="s">
        <v>218</v>
      </c>
      <c r="H177" s="30" t="s">
        <v>254</v>
      </c>
      <c r="I177" s="30" t="s">
        <v>227</v>
      </c>
      <c r="J177" s="30"/>
      <c r="K177" s="30" t="s">
        <v>194</v>
      </c>
      <c r="L177" s="30"/>
      <c r="M177" s="30"/>
      <c r="N177" s="30"/>
      <c r="O177" s="31"/>
      <c r="P177" s="32"/>
      <c r="Q177" s="5"/>
      <c r="R177" s="10"/>
    </row>
    <row r="178" spans="1:18" ht="39.5">
      <c r="A178" s="20" t="str">
        <f t="shared" si="93"/>
        <v>RESP</v>
      </c>
      <c r="B178" s="20" t="str">
        <f t="shared" si="94"/>
        <v>INIT</v>
      </c>
      <c r="C178" s="20" t="str">
        <f t="shared" si="95"/>
        <v/>
      </c>
      <c r="D178" s="5"/>
      <c r="E178" s="28" t="s">
        <v>669</v>
      </c>
      <c r="F178" s="36" t="s">
        <v>16</v>
      </c>
      <c r="G178" s="30" t="s">
        <v>223</v>
      </c>
      <c r="H178" s="30" t="s">
        <v>255</v>
      </c>
      <c r="I178" s="30" t="s">
        <v>227</v>
      </c>
      <c r="J178" s="30"/>
      <c r="K178" s="30" t="s">
        <v>194</v>
      </c>
      <c r="L178" s="30"/>
      <c r="M178" s="30"/>
      <c r="N178" s="30"/>
      <c r="O178" s="31"/>
      <c r="P178" s="32"/>
      <c r="Q178" s="5"/>
      <c r="R178" s="10"/>
    </row>
    <row r="179" spans="1:18">
      <c r="A179" s="20" t="str">
        <f t="shared" si="93"/>
        <v>RESP</v>
      </c>
      <c r="B179" s="20" t="str">
        <f t="shared" si="94"/>
        <v>INIT</v>
      </c>
      <c r="C179" s="20" t="str">
        <f t="shared" si="95"/>
        <v/>
      </c>
      <c r="D179" s="5"/>
      <c r="E179" s="28" t="s">
        <v>670</v>
      </c>
      <c r="F179" s="36" t="s">
        <v>17</v>
      </c>
      <c r="G179" s="30" t="s">
        <v>223</v>
      </c>
      <c r="H179" s="30" t="s">
        <v>255</v>
      </c>
      <c r="I179" s="30" t="s">
        <v>227</v>
      </c>
      <c r="J179" s="30"/>
      <c r="K179" s="30" t="s">
        <v>144</v>
      </c>
      <c r="L179" s="30"/>
      <c r="M179" s="30"/>
      <c r="N179" s="30"/>
      <c r="O179" s="31"/>
      <c r="P179" s="32"/>
      <c r="Q179" s="5"/>
      <c r="R179" s="10"/>
    </row>
    <row r="180" spans="1:18" ht="52.5">
      <c r="A180" s="20" t="str">
        <f t="shared" si="93"/>
        <v>RESP</v>
      </c>
      <c r="B180" s="20" t="str">
        <f t="shared" si="94"/>
        <v>INIT</v>
      </c>
      <c r="C180" s="20" t="str">
        <f t="shared" si="95"/>
        <v/>
      </c>
      <c r="D180" s="5"/>
      <c r="E180" s="28" t="s">
        <v>671</v>
      </c>
      <c r="F180" s="36" t="s">
        <v>111</v>
      </c>
      <c r="G180" s="30" t="s">
        <v>223</v>
      </c>
      <c r="H180" s="30" t="s">
        <v>255</v>
      </c>
      <c r="I180" s="30" t="s">
        <v>227</v>
      </c>
      <c r="J180" s="30"/>
      <c r="K180" s="30" t="s">
        <v>194</v>
      </c>
      <c r="L180" s="30"/>
      <c r="M180" s="30"/>
      <c r="N180" s="30"/>
      <c r="O180" s="31"/>
      <c r="P180" s="32"/>
      <c r="Q180" s="5"/>
      <c r="R180" s="10"/>
    </row>
    <row r="181" spans="1:18" ht="26.5">
      <c r="A181" s="20" t="str">
        <f t="shared" si="93"/>
        <v>RESP</v>
      </c>
      <c r="B181" s="20" t="str">
        <f t="shared" si="94"/>
        <v>INIT</v>
      </c>
      <c r="C181" s="20" t="str">
        <f t="shared" si="95"/>
        <v/>
      </c>
      <c r="D181" s="5"/>
      <c r="E181" s="28" t="s">
        <v>672</v>
      </c>
      <c r="F181" s="36" t="s">
        <v>200</v>
      </c>
      <c r="G181" s="30" t="s">
        <v>223</v>
      </c>
      <c r="H181" s="30" t="s">
        <v>255</v>
      </c>
      <c r="I181" s="30" t="s">
        <v>227</v>
      </c>
      <c r="J181" s="30"/>
      <c r="K181" s="30" t="s">
        <v>194</v>
      </c>
      <c r="L181" s="30"/>
      <c r="M181" s="30"/>
      <c r="N181" s="30"/>
      <c r="O181" s="31"/>
      <c r="P181" s="32"/>
      <c r="Q181" s="5"/>
      <c r="R181" s="10"/>
    </row>
    <row r="182" spans="1:18" ht="26.5">
      <c r="A182" s="20" t="str">
        <f t="shared" si="93"/>
        <v>RESP</v>
      </c>
      <c r="B182" s="20" t="str">
        <f t="shared" si="94"/>
        <v>INIT</v>
      </c>
      <c r="C182" s="20" t="str">
        <f t="shared" si="95"/>
        <v/>
      </c>
      <c r="D182" s="5"/>
      <c r="E182" s="28" t="s">
        <v>673</v>
      </c>
      <c r="F182" s="36" t="s">
        <v>199</v>
      </c>
      <c r="G182" s="30" t="s">
        <v>223</v>
      </c>
      <c r="H182" s="30" t="s">
        <v>230</v>
      </c>
      <c r="I182" s="30" t="s">
        <v>218</v>
      </c>
      <c r="J182" s="30"/>
      <c r="K182" s="30" t="s">
        <v>194</v>
      </c>
      <c r="L182" s="30"/>
      <c r="M182" s="30"/>
      <c r="N182" s="30"/>
      <c r="O182" s="31"/>
      <c r="P182" s="32"/>
      <c r="Q182" s="5"/>
      <c r="R182" s="10"/>
    </row>
    <row r="183" spans="1:18">
      <c r="A183" s="20" t="str">
        <f t="shared" ref="A183" si="96">IF(J183="","RESP","")</f>
        <v>RESP</v>
      </c>
      <c r="B183" s="20" t="str">
        <f t="shared" ref="B183" si="97">IF(M183="","INIT","")</f>
        <v>INIT</v>
      </c>
      <c r="C183" s="20" t="str">
        <f t="shared" ref="C183" si="98">IF(AND(J183="NO",O183=""),"CMTS","")</f>
        <v/>
      </c>
      <c r="D183" s="5"/>
      <c r="E183" s="28" t="s">
        <v>674</v>
      </c>
      <c r="F183" s="36" t="s">
        <v>228</v>
      </c>
      <c r="G183" s="30" t="s">
        <v>223</v>
      </c>
      <c r="H183" s="30" t="s">
        <v>229</v>
      </c>
      <c r="I183" s="30" t="s">
        <v>218</v>
      </c>
      <c r="J183" s="30"/>
      <c r="K183" s="30" t="s">
        <v>194</v>
      </c>
      <c r="L183" s="30"/>
      <c r="M183" s="30"/>
      <c r="N183" s="30"/>
      <c r="O183" s="31"/>
      <c r="P183" s="32"/>
      <c r="Q183" s="5"/>
      <c r="R183" s="10"/>
    </row>
    <row r="184" spans="1:18" ht="26.5">
      <c r="A184" s="20" t="str">
        <f t="shared" si="93"/>
        <v>RESP</v>
      </c>
      <c r="B184" s="20" t="str">
        <f t="shared" si="94"/>
        <v>INIT</v>
      </c>
      <c r="C184" s="20" t="str">
        <f t="shared" si="95"/>
        <v/>
      </c>
      <c r="D184" s="5"/>
      <c r="E184" s="28" t="s">
        <v>675</v>
      </c>
      <c r="F184" s="36" t="s">
        <v>171</v>
      </c>
      <c r="G184" s="30" t="s">
        <v>223</v>
      </c>
      <c r="H184" s="30" t="s">
        <v>229</v>
      </c>
      <c r="I184" s="30" t="s">
        <v>218</v>
      </c>
      <c r="J184" s="30"/>
      <c r="K184" s="30" t="s">
        <v>194</v>
      </c>
      <c r="L184" s="30"/>
      <c r="M184" s="30"/>
      <c r="N184" s="30"/>
      <c r="O184" s="31"/>
      <c r="P184" s="32"/>
      <c r="Q184" s="5"/>
      <c r="R184" s="10"/>
    </row>
    <row r="185" spans="1:18" ht="39.5">
      <c r="A185" s="20" t="str">
        <f t="shared" si="93"/>
        <v>RESP</v>
      </c>
      <c r="B185" s="20" t="str">
        <f t="shared" si="94"/>
        <v>INIT</v>
      </c>
      <c r="C185" s="20" t="str">
        <f t="shared" si="95"/>
        <v/>
      </c>
      <c r="D185" s="5"/>
      <c r="E185" s="28" t="s">
        <v>676</v>
      </c>
      <c r="F185" s="36" t="s">
        <v>147</v>
      </c>
      <c r="G185" s="30" t="s">
        <v>223</v>
      </c>
      <c r="H185" s="30" t="s">
        <v>229</v>
      </c>
      <c r="I185" s="30" t="s">
        <v>218</v>
      </c>
      <c r="J185" s="30"/>
      <c r="K185" s="30" t="s">
        <v>194</v>
      </c>
      <c r="L185" s="30"/>
      <c r="M185" s="30"/>
      <c r="N185" s="30"/>
      <c r="O185" s="31"/>
      <c r="P185" s="32"/>
      <c r="Q185" s="5"/>
      <c r="R185" s="10"/>
    </row>
    <row r="186" spans="1:18" ht="130.5">
      <c r="A186" s="20" t="str">
        <f t="shared" si="93"/>
        <v>RESP</v>
      </c>
      <c r="B186" s="20" t="str">
        <f t="shared" si="94"/>
        <v>INIT</v>
      </c>
      <c r="C186" s="20" t="str">
        <f t="shared" si="95"/>
        <v/>
      </c>
      <c r="E186" s="37" t="s">
        <v>406</v>
      </c>
      <c r="F186" s="39" t="s">
        <v>182</v>
      </c>
      <c r="G186" s="30" t="s">
        <v>218</v>
      </c>
      <c r="H186" s="30" t="s">
        <v>254</v>
      </c>
      <c r="I186" s="30" t="s">
        <v>225</v>
      </c>
      <c r="J186" s="30"/>
      <c r="K186" s="30" t="s">
        <v>144</v>
      </c>
      <c r="L186" s="30"/>
      <c r="M186" s="30"/>
      <c r="N186" s="30"/>
      <c r="O186" s="31"/>
      <c r="P186" s="32"/>
      <c r="Q186" s="5"/>
      <c r="R186" s="10"/>
    </row>
    <row r="187" spans="1:18" ht="26.5">
      <c r="A187" s="20" t="str">
        <f t="shared" si="93"/>
        <v>RESP</v>
      </c>
      <c r="B187" s="20" t="str">
        <f t="shared" si="94"/>
        <v>INIT</v>
      </c>
      <c r="C187" s="20" t="str">
        <f t="shared" si="95"/>
        <v/>
      </c>
      <c r="E187" s="37" t="s">
        <v>407</v>
      </c>
      <c r="F187" s="39" t="s">
        <v>22</v>
      </c>
      <c r="G187" s="30" t="s">
        <v>218</v>
      </c>
      <c r="H187" s="30" t="s">
        <v>254</v>
      </c>
      <c r="I187" s="30" t="s">
        <v>225</v>
      </c>
      <c r="J187" s="30"/>
      <c r="K187" s="30" t="s">
        <v>194</v>
      </c>
      <c r="L187" s="30"/>
      <c r="M187" s="30"/>
      <c r="N187" s="30"/>
      <c r="O187" s="31"/>
      <c r="P187" s="32"/>
      <c r="Q187" s="5"/>
      <c r="R187" s="10"/>
    </row>
    <row r="188" spans="1:18">
      <c r="A188" s="20" t="str">
        <f t="shared" si="93"/>
        <v>RESP</v>
      </c>
      <c r="B188" s="20" t="str">
        <f t="shared" si="94"/>
        <v>INIT</v>
      </c>
      <c r="C188" s="20" t="str">
        <f t="shared" si="95"/>
        <v/>
      </c>
      <c r="E188" s="37" t="s">
        <v>408</v>
      </c>
      <c r="F188" s="39" t="s">
        <v>23</v>
      </c>
      <c r="G188" s="30" t="s">
        <v>218</v>
      </c>
      <c r="H188" s="30" t="s">
        <v>254</v>
      </c>
      <c r="I188" s="30" t="s">
        <v>225</v>
      </c>
      <c r="J188" s="30"/>
      <c r="K188" s="30" t="s">
        <v>194</v>
      </c>
      <c r="L188" s="30"/>
      <c r="M188" s="30"/>
      <c r="N188" s="30"/>
      <c r="O188" s="31"/>
      <c r="P188" s="32"/>
      <c r="Q188" s="5"/>
      <c r="R188" s="10"/>
    </row>
    <row r="189" spans="1:18">
      <c r="A189" s="20" t="str">
        <f t="shared" si="93"/>
        <v>RESP</v>
      </c>
      <c r="B189" s="20" t="str">
        <f t="shared" si="94"/>
        <v>INIT</v>
      </c>
      <c r="C189" s="20" t="str">
        <f t="shared" si="95"/>
        <v/>
      </c>
      <c r="E189" s="37" t="s">
        <v>677</v>
      </c>
      <c r="F189" s="39" t="s">
        <v>65</v>
      </c>
      <c r="G189" s="30" t="s">
        <v>218</v>
      </c>
      <c r="H189" s="30" t="s">
        <v>254</v>
      </c>
      <c r="I189" s="30" t="s">
        <v>225</v>
      </c>
      <c r="J189" s="30"/>
      <c r="K189" s="30" t="s">
        <v>144</v>
      </c>
      <c r="L189" s="30"/>
      <c r="M189" s="30"/>
      <c r="N189" s="30"/>
      <c r="O189" s="31"/>
      <c r="P189" s="32"/>
      <c r="Q189" s="5"/>
      <c r="R189" s="10"/>
    </row>
    <row r="190" spans="1:18">
      <c r="A190" s="20" t="str">
        <f t="shared" si="93"/>
        <v>RESP</v>
      </c>
      <c r="B190" s="20" t="str">
        <f t="shared" si="94"/>
        <v>INIT</v>
      </c>
      <c r="C190" s="20" t="str">
        <f t="shared" si="95"/>
        <v/>
      </c>
      <c r="E190" s="37" t="s">
        <v>678</v>
      </c>
      <c r="F190" s="39" t="s">
        <v>25</v>
      </c>
      <c r="G190" s="30" t="s">
        <v>218</v>
      </c>
      <c r="H190" s="30" t="s">
        <v>254</v>
      </c>
      <c r="I190" s="30" t="s">
        <v>225</v>
      </c>
      <c r="J190" s="30"/>
      <c r="K190" s="30" t="s">
        <v>144</v>
      </c>
      <c r="L190" s="30"/>
      <c r="M190" s="30"/>
      <c r="N190" s="30"/>
      <c r="O190" s="31"/>
      <c r="P190" s="32"/>
      <c r="Q190" s="5"/>
      <c r="R190" s="10"/>
    </row>
    <row r="191" spans="1:18" ht="39.5">
      <c r="A191" s="20" t="str">
        <f t="shared" si="93"/>
        <v>RESP</v>
      </c>
      <c r="B191" s="20" t="str">
        <f t="shared" si="94"/>
        <v>INIT</v>
      </c>
      <c r="C191" s="20" t="str">
        <f t="shared" si="95"/>
        <v/>
      </c>
      <c r="E191" s="37" t="s">
        <v>679</v>
      </c>
      <c r="F191" s="39" t="s">
        <v>26</v>
      </c>
      <c r="G191" s="30" t="s">
        <v>218</v>
      </c>
      <c r="H191" s="30" t="s">
        <v>254</v>
      </c>
      <c r="I191" s="30" t="s">
        <v>225</v>
      </c>
      <c r="J191" s="30"/>
      <c r="K191" s="30" t="s">
        <v>144</v>
      </c>
      <c r="L191" s="30"/>
      <c r="M191" s="30"/>
      <c r="N191" s="30"/>
      <c r="O191" s="31"/>
      <c r="P191" s="32"/>
      <c r="Q191" s="5"/>
      <c r="R191" s="10"/>
    </row>
    <row r="192" spans="1:18" ht="26.5">
      <c r="A192" s="20" t="str">
        <f t="shared" ref="A192:A202" si="99">IF(J192="","RESP","")</f>
        <v>RESP</v>
      </c>
      <c r="B192" s="20" t="str">
        <f t="shared" ref="B192:B202" si="100">IF(M192="","INIT","")</f>
        <v>INIT</v>
      </c>
      <c r="C192" s="20" t="str">
        <f t="shared" ref="C192:C202" si="101">IF(AND(J192="NO",O192=""),"CMTS","")</f>
        <v/>
      </c>
      <c r="E192" s="37" t="s">
        <v>680</v>
      </c>
      <c r="F192" s="39" t="s">
        <v>28</v>
      </c>
      <c r="G192" s="30" t="s">
        <v>218</v>
      </c>
      <c r="H192" s="30" t="s">
        <v>254</v>
      </c>
      <c r="I192" s="30" t="s">
        <v>225</v>
      </c>
      <c r="J192" s="30"/>
      <c r="K192" s="30" t="s">
        <v>144</v>
      </c>
      <c r="L192" s="30"/>
      <c r="M192" s="30"/>
      <c r="N192" s="30"/>
      <c r="O192" s="31"/>
      <c r="P192" s="32"/>
      <c r="Q192" s="5"/>
      <c r="R192" s="10"/>
    </row>
    <row r="193" spans="1:18" ht="26.5">
      <c r="A193" s="20" t="str">
        <f t="shared" si="99"/>
        <v>RESP</v>
      </c>
      <c r="B193" s="20" t="str">
        <f t="shared" si="100"/>
        <v>INIT</v>
      </c>
      <c r="C193" s="20" t="str">
        <f t="shared" si="101"/>
        <v/>
      </c>
      <c r="E193" s="37" t="s">
        <v>681</v>
      </c>
      <c r="F193" s="39" t="s">
        <v>30</v>
      </c>
      <c r="G193" s="30" t="s">
        <v>218</v>
      </c>
      <c r="H193" s="30" t="s">
        <v>254</v>
      </c>
      <c r="I193" s="30" t="s">
        <v>225</v>
      </c>
      <c r="J193" s="30"/>
      <c r="K193" s="30" t="s">
        <v>194</v>
      </c>
      <c r="L193" s="30"/>
      <c r="M193" s="30"/>
      <c r="N193" s="30"/>
      <c r="O193" s="31"/>
      <c r="P193" s="32"/>
      <c r="Q193" s="5"/>
      <c r="R193" s="10"/>
    </row>
    <row r="194" spans="1:18" ht="26.5">
      <c r="A194" s="20" t="str">
        <f t="shared" si="99"/>
        <v>RESP</v>
      </c>
      <c r="B194" s="20" t="str">
        <f t="shared" si="100"/>
        <v>INIT</v>
      </c>
      <c r="C194" s="20" t="str">
        <f t="shared" si="101"/>
        <v/>
      </c>
      <c r="E194" s="37" t="s">
        <v>682</v>
      </c>
      <c r="F194" s="39" t="s">
        <v>31</v>
      </c>
      <c r="G194" s="30" t="s">
        <v>218</v>
      </c>
      <c r="H194" s="30" t="s">
        <v>254</v>
      </c>
      <c r="I194" s="30" t="s">
        <v>225</v>
      </c>
      <c r="J194" s="30"/>
      <c r="K194" s="30" t="s">
        <v>144</v>
      </c>
      <c r="L194" s="30"/>
      <c r="M194" s="30"/>
      <c r="N194" s="30"/>
      <c r="O194" s="31"/>
      <c r="P194" s="32"/>
      <c r="Q194" s="5"/>
      <c r="R194" s="10"/>
    </row>
    <row r="195" spans="1:18" ht="26.5">
      <c r="A195" s="20" t="str">
        <f t="shared" si="99"/>
        <v>RESP</v>
      </c>
      <c r="B195" s="20" t="str">
        <f t="shared" si="100"/>
        <v>INIT</v>
      </c>
      <c r="C195" s="20" t="str">
        <f t="shared" si="101"/>
        <v/>
      </c>
      <c r="E195" s="37" t="s">
        <v>683</v>
      </c>
      <c r="F195" s="39" t="s">
        <v>162</v>
      </c>
      <c r="G195" s="30" t="s">
        <v>218</v>
      </c>
      <c r="H195" s="30" t="s">
        <v>254</v>
      </c>
      <c r="I195" s="30" t="s">
        <v>225</v>
      </c>
      <c r="J195" s="30"/>
      <c r="K195" s="30" t="s">
        <v>194</v>
      </c>
      <c r="L195" s="30"/>
      <c r="M195" s="30"/>
      <c r="N195" s="30"/>
      <c r="O195" s="31"/>
      <c r="P195" s="32"/>
      <c r="Q195" s="5"/>
      <c r="R195" s="10"/>
    </row>
    <row r="196" spans="1:18" ht="39.5">
      <c r="A196" s="20" t="str">
        <f t="shared" si="99"/>
        <v>RESP</v>
      </c>
      <c r="B196" s="20" t="str">
        <f t="shared" si="100"/>
        <v>INIT</v>
      </c>
      <c r="C196" s="20" t="str">
        <f t="shared" si="101"/>
        <v/>
      </c>
      <c r="E196" s="37" t="s">
        <v>684</v>
      </c>
      <c r="F196" s="39" t="s">
        <v>193</v>
      </c>
      <c r="G196" s="30" t="s">
        <v>218</v>
      </c>
      <c r="H196" s="30" t="s">
        <v>254</v>
      </c>
      <c r="I196" s="30" t="s">
        <v>225</v>
      </c>
      <c r="J196" s="30"/>
      <c r="K196" s="30" t="s">
        <v>144</v>
      </c>
      <c r="L196" s="30"/>
      <c r="M196" s="30"/>
      <c r="N196" s="30"/>
      <c r="O196" s="31"/>
      <c r="P196" s="32"/>
      <c r="Q196" s="5"/>
      <c r="R196" s="10"/>
    </row>
    <row r="197" spans="1:18" ht="26.5">
      <c r="A197" s="20" t="str">
        <f t="shared" si="99"/>
        <v>RESP</v>
      </c>
      <c r="B197" s="20" t="str">
        <f t="shared" si="100"/>
        <v>INIT</v>
      </c>
      <c r="C197" s="20" t="str">
        <f t="shared" si="101"/>
        <v/>
      </c>
      <c r="E197" s="37" t="s">
        <v>685</v>
      </c>
      <c r="F197" s="39" t="s">
        <v>178</v>
      </c>
      <c r="G197" s="30" t="s">
        <v>218</v>
      </c>
      <c r="H197" s="30" t="s">
        <v>254</v>
      </c>
      <c r="I197" s="30" t="s">
        <v>225</v>
      </c>
      <c r="J197" s="30"/>
      <c r="K197" s="30" t="s">
        <v>144</v>
      </c>
      <c r="L197" s="30"/>
      <c r="M197" s="30"/>
      <c r="N197" s="30"/>
      <c r="O197" s="31"/>
      <c r="P197" s="32"/>
      <c r="Q197" s="5"/>
      <c r="R197" s="10"/>
    </row>
    <row r="198" spans="1:18">
      <c r="A198" s="20" t="str">
        <f t="shared" si="99"/>
        <v>RESP</v>
      </c>
      <c r="B198" s="20" t="str">
        <f t="shared" si="100"/>
        <v>INIT</v>
      </c>
      <c r="C198" s="20" t="str">
        <f t="shared" si="101"/>
        <v/>
      </c>
      <c r="E198" s="37" t="s">
        <v>686</v>
      </c>
      <c r="F198" s="39" t="s">
        <v>61</v>
      </c>
      <c r="G198" s="30" t="s">
        <v>218</v>
      </c>
      <c r="H198" s="30" t="s">
        <v>254</v>
      </c>
      <c r="I198" s="30" t="s">
        <v>225</v>
      </c>
      <c r="J198" s="30"/>
      <c r="K198" s="30" t="s">
        <v>194</v>
      </c>
      <c r="L198" s="30"/>
      <c r="M198" s="30"/>
      <c r="N198" s="30"/>
      <c r="O198" s="31"/>
      <c r="P198" s="32"/>
      <c r="Q198" s="5"/>
      <c r="R198" s="10"/>
    </row>
    <row r="199" spans="1:18" ht="130.5">
      <c r="A199" s="20" t="str">
        <f t="shared" si="99"/>
        <v>RESP</v>
      </c>
      <c r="B199" s="20" t="str">
        <f t="shared" si="100"/>
        <v>INIT</v>
      </c>
      <c r="C199" s="20" t="str">
        <f t="shared" si="101"/>
        <v/>
      </c>
      <c r="E199" s="37" t="s">
        <v>687</v>
      </c>
      <c r="F199" s="39" t="s">
        <v>253</v>
      </c>
      <c r="G199" s="30" t="s">
        <v>223</v>
      </c>
      <c r="H199" s="30" t="s">
        <v>256</v>
      </c>
      <c r="I199" s="30" t="s">
        <v>225</v>
      </c>
      <c r="J199" s="30"/>
      <c r="K199" s="30" t="s">
        <v>194</v>
      </c>
      <c r="L199" s="30"/>
      <c r="M199" s="30"/>
      <c r="N199" s="30"/>
      <c r="O199" s="31"/>
      <c r="P199" s="32"/>
      <c r="Q199" s="5"/>
      <c r="R199" s="10"/>
    </row>
    <row r="200" spans="1:18" ht="39.5">
      <c r="A200" s="20" t="str">
        <f t="shared" si="99"/>
        <v>RESP</v>
      </c>
      <c r="B200" s="20" t="str">
        <f t="shared" si="100"/>
        <v>INIT</v>
      </c>
      <c r="C200" s="20" t="str">
        <f t="shared" si="101"/>
        <v/>
      </c>
      <c r="E200" s="37" t="s">
        <v>688</v>
      </c>
      <c r="F200" s="39" t="s">
        <v>189</v>
      </c>
      <c r="G200" s="30" t="s">
        <v>218</v>
      </c>
      <c r="H200" s="30" t="s">
        <v>256</v>
      </c>
      <c r="I200" s="30" t="s">
        <v>225</v>
      </c>
      <c r="J200" s="30"/>
      <c r="K200" s="30" t="s">
        <v>194</v>
      </c>
      <c r="L200" s="30"/>
      <c r="M200" s="30"/>
      <c r="N200" s="30"/>
      <c r="O200" s="31"/>
      <c r="P200" s="32"/>
      <c r="Q200" s="5"/>
      <c r="R200" s="10"/>
    </row>
    <row r="201" spans="1:18" ht="78.5">
      <c r="A201" s="20" t="str">
        <f t="shared" si="99"/>
        <v>RESP</v>
      </c>
      <c r="B201" s="20" t="str">
        <f t="shared" si="100"/>
        <v>INIT</v>
      </c>
      <c r="C201" s="20" t="str">
        <f t="shared" si="101"/>
        <v/>
      </c>
      <c r="E201" s="37" t="s">
        <v>689</v>
      </c>
      <c r="F201" s="39" t="s">
        <v>203</v>
      </c>
      <c r="G201" s="30" t="s">
        <v>218</v>
      </c>
      <c r="H201" s="30" t="s">
        <v>257</v>
      </c>
      <c r="I201" s="30" t="s">
        <v>225</v>
      </c>
      <c r="J201" s="30"/>
      <c r="K201" s="30" t="s">
        <v>194</v>
      </c>
      <c r="L201" s="30"/>
      <c r="M201" s="30"/>
      <c r="N201" s="30"/>
      <c r="O201" s="31"/>
      <c r="P201" s="32"/>
      <c r="Q201" s="5"/>
      <c r="R201" s="10"/>
    </row>
    <row r="202" spans="1:18" ht="52.5">
      <c r="A202" s="20" t="str">
        <f t="shared" si="99"/>
        <v>RESP</v>
      </c>
      <c r="B202" s="20" t="str">
        <f t="shared" si="100"/>
        <v>INIT</v>
      </c>
      <c r="C202" s="20" t="str">
        <f t="shared" si="101"/>
        <v/>
      </c>
      <c r="E202" s="37" t="s">
        <v>690</v>
      </c>
      <c r="F202" s="39" t="s">
        <v>187</v>
      </c>
      <c r="G202" s="30" t="s">
        <v>218</v>
      </c>
      <c r="H202" s="30" t="s">
        <v>258</v>
      </c>
      <c r="I202" s="30" t="s">
        <v>225</v>
      </c>
      <c r="J202" s="30"/>
      <c r="K202" s="30" t="s">
        <v>144</v>
      </c>
      <c r="L202" s="30"/>
      <c r="M202" s="30"/>
      <c r="N202" s="30"/>
      <c r="O202" s="31"/>
      <c r="P202" s="32"/>
      <c r="Q202" s="5"/>
      <c r="R202" s="10"/>
    </row>
    <row r="203" spans="1:18">
      <c r="A203" s="20" t="str">
        <f t="shared" ref="A203:A206" si="102">IF(J203="","RESP","")</f>
        <v>RESP</v>
      </c>
      <c r="B203" s="20" t="str">
        <f t="shared" ref="B203:B206" si="103">IF(M203="","INIT","")</f>
        <v>INIT</v>
      </c>
      <c r="C203" s="20" t="str">
        <f t="shared" ref="C203:C206" si="104">IF(AND(J203="NO",O203=""),"CMTS","")</f>
        <v/>
      </c>
      <c r="E203" s="37" t="s">
        <v>691</v>
      </c>
      <c r="F203" s="39" t="s">
        <v>20</v>
      </c>
      <c r="G203" s="30" t="s">
        <v>218</v>
      </c>
      <c r="H203" s="30" t="s">
        <v>230</v>
      </c>
      <c r="I203" s="30" t="s">
        <v>225</v>
      </c>
      <c r="J203" s="30"/>
      <c r="K203" s="30" t="s">
        <v>144</v>
      </c>
      <c r="L203" s="30"/>
      <c r="M203" s="30"/>
      <c r="N203" s="30"/>
      <c r="O203" s="31"/>
      <c r="P203" s="32"/>
      <c r="Q203" s="5"/>
      <c r="R203" s="10"/>
    </row>
    <row r="204" spans="1:18">
      <c r="A204" s="20" t="str">
        <f t="shared" si="102"/>
        <v>RESP</v>
      </c>
      <c r="B204" s="20" t="str">
        <f t="shared" si="103"/>
        <v>INIT</v>
      </c>
      <c r="C204" s="20" t="str">
        <f t="shared" si="104"/>
        <v/>
      </c>
      <c r="E204" s="37" t="s">
        <v>692</v>
      </c>
      <c r="F204" s="39" t="s">
        <v>63</v>
      </c>
      <c r="G204" s="30" t="s">
        <v>218</v>
      </c>
      <c r="H204" s="30" t="s">
        <v>230</v>
      </c>
      <c r="I204" s="30" t="s">
        <v>225</v>
      </c>
      <c r="J204" s="30"/>
      <c r="K204" s="30" t="s">
        <v>144</v>
      </c>
      <c r="L204" s="30"/>
      <c r="M204" s="30"/>
      <c r="N204" s="30"/>
      <c r="O204" s="31"/>
      <c r="P204" s="32"/>
      <c r="Q204" s="5"/>
      <c r="R204" s="10"/>
    </row>
    <row r="205" spans="1:18" ht="156.5">
      <c r="A205" s="20" t="str">
        <f t="shared" si="102"/>
        <v>RESP</v>
      </c>
      <c r="B205" s="20" t="str">
        <f t="shared" si="103"/>
        <v>INIT</v>
      </c>
      <c r="C205" s="20" t="str">
        <f t="shared" si="104"/>
        <v/>
      </c>
      <c r="E205" s="37" t="s">
        <v>693</v>
      </c>
      <c r="F205" s="39" t="s">
        <v>186</v>
      </c>
      <c r="G205" s="30" t="s">
        <v>223</v>
      </c>
      <c r="H205" s="30" t="s">
        <v>230</v>
      </c>
      <c r="I205" s="30" t="s">
        <v>225</v>
      </c>
      <c r="J205" s="30"/>
      <c r="K205" s="30" t="s">
        <v>194</v>
      </c>
      <c r="L205" s="30"/>
      <c r="M205" s="30"/>
      <c r="N205" s="30"/>
      <c r="O205" s="31"/>
      <c r="P205" s="32"/>
      <c r="Q205" s="5"/>
      <c r="R205" s="10"/>
    </row>
    <row r="206" spans="1:18">
      <c r="A206" s="20" t="str">
        <f t="shared" si="102"/>
        <v>RESP</v>
      </c>
      <c r="B206" s="20" t="str">
        <f t="shared" si="103"/>
        <v>INIT</v>
      </c>
      <c r="C206" s="20" t="str">
        <f t="shared" si="104"/>
        <v/>
      </c>
      <c r="E206" s="37" t="s">
        <v>694</v>
      </c>
      <c r="F206" s="39" t="s">
        <v>62</v>
      </c>
      <c r="G206" s="30" t="s">
        <v>223</v>
      </c>
      <c r="H206" s="30" t="s">
        <v>230</v>
      </c>
      <c r="I206" s="30" t="s">
        <v>225</v>
      </c>
      <c r="J206" s="30"/>
      <c r="K206" s="30" t="s">
        <v>194</v>
      </c>
      <c r="L206" s="30"/>
      <c r="M206" s="30"/>
      <c r="N206" s="30"/>
      <c r="O206" s="31"/>
      <c r="P206" s="32"/>
      <c r="Q206" s="5"/>
      <c r="R206" s="10"/>
    </row>
    <row r="207" spans="1:18" ht="65.5">
      <c r="A207" s="20" t="str">
        <f t="shared" ref="A207:A216" si="105">IF(J207="","RESP","")</f>
        <v>RESP</v>
      </c>
      <c r="B207" s="20" t="str">
        <f t="shared" ref="B207:B216" si="106">IF(M207="","INIT","")</f>
        <v>INIT</v>
      </c>
      <c r="C207" s="20" t="str">
        <f t="shared" ref="C207:C216" si="107">IF(AND(J207="NO",O207=""),"CMTS","")</f>
        <v/>
      </c>
      <c r="E207" s="37" t="s">
        <v>695</v>
      </c>
      <c r="F207" s="39" t="s">
        <v>206</v>
      </c>
      <c r="G207" s="30" t="s">
        <v>218</v>
      </c>
      <c r="H207" s="30" t="s">
        <v>229</v>
      </c>
      <c r="I207" s="30" t="s">
        <v>225</v>
      </c>
      <c r="J207" s="30"/>
      <c r="K207" s="30" t="s">
        <v>194</v>
      </c>
      <c r="L207" s="30"/>
      <c r="M207" s="30"/>
      <c r="N207" s="30"/>
      <c r="O207" s="31"/>
      <c r="P207" s="32"/>
      <c r="Q207" s="5"/>
      <c r="R207" s="10"/>
    </row>
    <row r="208" spans="1:18" ht="65.5">
      <c r="A208" s="20" t="str">
        <f t="shared" si="105"/>
        <v>RESP</v>
      </c>
      <c r="B208" s="20" t="str">
        <f t="shared" si="106"/>
        <v>INIT</v>
      </c>
      <c r="C208" s="20" t="str">
        <f t="shared" si="107"/>
        <v/>
      </c>
      <c r="E208" s="37" t="s">
        <v>696</v>
      </c>
      <c r="F208" s="39" t="s">
        <v>168</v>
      </c>
      <c r="G208" s="30" t="s">
        <v>218</v>
      </c>
      <c r="H208" s="30" t="s">
        <v>229</v>
      </c>
      <c r="I208" s="30" t="s">
        <v>225</v>
      </c>
      <c r="J208" s="30"/>
      <c r="K208" s="30" t="s">
        <v>194</v>
      </c>
      <c r="L208" s="30"/>
      <c r="M208" s="30"/>
      <c r="N208" s="30"/>
      <c r="O208" s="31"/>
      <c r="P208" s="32"/>
      <c r="Q208" s="5"/>
      <c r="R208" s="10"/>
    </row>
    <row r="209" spans="1:18" ht="26.5">
      <c r="A209" s="20" t="str">
        <f t="shared" si="105"/>
        <v>RESP</v>
      </c>
      <c r="B209" s="20" t="str">
        <f t="shared" si="106"/>
        <v>INIT</v>
      </c>
      <c r="C209" s="20" t="str">
        <f t="shared" si="107"/>
        <v/>
      </c>
      <c r="E209" s="37" t="s">
        <v>697</v>
      </c>
      <c r="F209" s="39" t="s">
        <v>190</v>
      </c>
      <c r="G209" s="30" t="s">
        <v>218</v>
      </c>
      <c r="H209" s="30" t="s">
        <v>229</v>
      </c>
      <c r="I209" s="30" t="s">
        <v>225</v>
      </c>
      <c r="J209" s="30"/>
      <c r="K209" s="30" t="s">
        <v>194</v>
      </c>
      <c r="L209" s="30"/>
      <c r="M209" s="30"/>
      <c r="N209" s="30"/>
      <c r="O209" s="31"/>
      <c r="P209" s="32"/>
      <c r="Q209" s="5"/>
      <c r="R209" s="10"/>
    </row>
    <row r="210" spans="1:18" ht="39.5">
      <c r="A210" s="20" t="str">
        <f t="shared" si="105"/>
        <v>RESP</v>
      </c>
      <c r="B210" s="20" t="str">
        <f t="shared" si="106"/>
        <v>INIT</v>
      </c>
      <c r="C210" s="20" t="str">
        <f t="shared" si="107"/>
        <v/>
      </c>
      <c r="E210" s="37" t="s">
        <v>698</v>
      </c>
      <c r="F210" s="39" t="s">
        <v>191</v>
      </c>
      <c r="G210" s="30" t="s">
        <v>218</v>
      </c>
      <c r="H210" s="30" t="s">
        <v>229</v>
      </c>
      <c r="I210" s="30" t="s">
        <v>225</v>
      </c>
      <c r="J210" s="30"/>
      <c r="K210" s="30" t="s">
        <v>144</v>
      </c>
      <c r="L210" s="30"/>
      <c r="M210" s="30"/>
      <c r="N210" s="30"/>
      <c r="O210" s="31"/>
      <c r="P210" s="32"/>
      <c r="Q210" s="5"/>
      <c r="R210" s="10"/>
    </row>
    <row r="211" spans="1:18">
      <c r="A211" s="20" t="str">
        <f t="shared" si="105"/>
        <v>RESP</v>
      </c>
      <c r="B211" s="20" t="str">
        <f t="shared" si="106"/>
        <v>INIT</v>
      </c>
      <c r="C211" s="20" t="str">
        <f t="shared" si="107"/>
        <v/>
      </c>
      <c r="E211" s="37" t="s">
        <v>699</v>
      </c>
      <c r="F211" s="39" t="s">
        <v>24</v>
      </c>
      <c r="G211" s="30" t="s">
        <v>218</v>
      </c>
      <c r="H211" s="30" t="s">
        <v>229</v>
      </c>
      <c r="I211" s="30" t="s">
        <v>225</v>
      </c>
      <c r="J211" s="30"/>
      <c r="K211" s="30" t="s">
        <v>144</v>
      </c>
      <c r="L211" s="30"/>
      <c r="M211" s="30"/>
      <c r="N211" s="30"/>
      <c r="O211" s="31"/>
      <c r="P211" s="32"/>
      <c r="Q211" s="5"/>
      <c r="R211" s="10"/>
    </row>
    <row r="212" spans="1:18" ht="78.5">
      <c r="A212" s="20" t="str">
        <f t="shared" si="105"/>
        <v>RESP</v>
      </c>
      <c r="B212" s="20" t="str">
        <f t="shared" si="106"/>
        <v>INIT</v>
      </c>
      <c r="C212" s="20" t="str">
        <f t="shared" si="107"/>
        <v/>
      </c>
      <c r="E212" s="37" t="s">
        <v>700</v>
      </c>
      <c r="F212" s="39" t="s">
        <v>188</v>
      </c>
      <c r="G212" s="30" t="s">
        <v>218</v>
      </c>
      <c r="H212" s="30" t="s">
        <v>229</v>
      </c>
      <c r="I212" s="30" t="s">
        <v>225</v>
      </c>
      <c r="J212" s="30"/>
      <c r="K212" s="30" t="s">
        <v>194</v>
      </c>
      <c r="L212" s="30"/>
      <c r="M212" s="30"/>
      <c r="N212" s="30"/>
      <c r="O212" s="31"/>
      <c r="P212" s="32"/>
      <c r="Q212" s="5"/>
      <c r="R212" s="10"/>
    </row>
    <row r="213" spans="1:18">
      <c r="A213" s="20" t="str">
        <f t="shared" si="105"/>
        <v>RESP</v>
      </c>
      <c r="B213" s="20" t="str">
        <f t="shared" si="106"/>
        <v>INIT</v>
      </c>
      <c r="C213" s="20" t="str">
        <f t="shared" si="107"/>
        <v/>
      </c>
      <c r="E213" s="37" t="s">
        <v>701</v>
      </c>
      <c r="F213" s="39" t="s">
        <v>66</v>
      </c>
      <c r="G213" s="30" t="s">
        <v>218</v>
      </c>
      <c r="H213" s="30" t="s">
        <v>229</v>
      </c>
      <c r="I213" s="30" t="s">
        <v>225</v>
      </c>
      <c r="J213" s="30"/>
      <c r="K213" s="30" t="s">
        <v>144</v>
      </c>
      <c r="L213" s="30"/>
      <c r="M213" s="30"/>
      <c r="N213" s="30"/>
      <c r="O213" s="31"/>
      <c r="P213" s="32"/>
      <c r="Q213" s="5"/>
      <c r="R213" s="10"/>
    </row>
    <row r="214" spans="1:18">
      <c r="A214" s="20" t="str">
        <f t="shared" si="105"/>
        <v>RESP</v>
      </c>
      <c r="B214" s="20" t="str">
        <f t="shared" si="106"/>
        <v>INIT</v>
      </c>
      <c r="C214" s="20" t="str">
        <f t="shared" si="107"/>
        <v/>
      </c>
      <c r="E214" s="37" t="s">
        <v>702</v>
      </c>
      <c r="F214" s="39" t="s">
        <v>27</v>
      </c>
      <c r="G214" s="30" t="s">
        <v>218</v>
      </c>
      <c r="H214" s="30" t="s">
        <v>229</v>
      </c>
      <c r="I214" s="30" t="s">
        <v>225</v>
      </c>
      <c r="J214" s="30"/>
      <c r="K214" s="30" t="s">
        <v>194</v>
      </c>
      <c r="L214" s="30"/>
      <c r="M214" s="30"/>
      <c r="N214" s="30"/>
      <c r="O214" s="31"/>
      <c r="P214" s="32"/>
      <c r="Q214" s="5"/>
      <c r="R214" s="10"/>
    </row>
    <row r="215" spans="1:18">
      <c r="A215" s="20" t="str">
        <f t="shared" si="105"/>
        <v>RESP</v>
      </c>
      <c r="B215" s="20" t="str">
        <f t="shared" si="106"/>
        <v>INIT</v>
      </c>
      <c r="C215" s="20" t="str">
        <f t="shared" si="107"/>
        <v/>
      </c>
      <c r="E215" s="37" t="s">
        <v>703</v>
      </c>
      <c r="F215" s="39" t="s">
        <v>192</v>
      </c>
      <c r="G215" s="30" t="s">
        <v>218</v>
      </c>
      <c r="H215" s="30" t="s">
        <v>229</v>
      </c>
      <c r="I215" s="30" t="s">
        <v>225</v>
      </c>
      <c r="J215" s="30"/>
      <c r="K215" s="30" t="s">
        <v>144</v>
      </c>
      <c r="L215" s="30"/>
      <c r="M215" s="30"/>
      <c r="N215" s="30"/>
      <c r="O215" s="31"/>
      <c r="P215" s="32"/>
      <c r="Q215" s="5"/>
      <c r="R215" s="10"/>
    </row>
    <row r="216" spans="1:18">
      <c r="A216" s="20" t="str">
        <f t="shared" si="105"/>
        <v>RESP</v>
      </c>
      <c r="B216" s="20" t="str">
        <f t="shared" si="106"/>
        <v>INIT</v>
      </c>
      <c r="C216" s="20" t="str">
        <f t="shared" si="107"/>
        <v/>
      </c>
      <c r="E216" s="37" t="s">
        <v>704</v>
      </c>
      <c r="F216" s="39" t="s">
        <v>29</v>
      </c>
      <c r="G216" s="30" t="s">
        <v>218</v>
      </c>
      <c r="H216" s="30" t="s">
        <v>229</v>
      </c>
      <c r="I216" s="30" t="s">
        <v>225</v>
      </c>
      <c r="J216" s="30"/>
      <c r="K216" s="30" t="s">
        <v>144</v>
      </c>
      <c r="L216" s="30"/>
      <c r="M216" s="30"/>
      <c r="N216" s="30"/>
      <c r="O216" s="31"/>
      <c r="P216" s="32"/>
      <c r="Q216" s="5"/>
      <c r="R216" s="10"/>
    </row>
    <row r="217" spans="1:18">
      <c r="A217" s="20" t="str">
        <f t="shared" ref="A217:A218" si="108">IF(J217="","RESP","")</f>
        <v>RESP</v>
      </c>
      <c r="B217" s="20" t="str">
        <f t="shared" ref="B217:B218" si="109">IF(M217="","INIT","")</f>
        <v>INIT</v>
      </c>
      <c r="C217" s="20" t="str">
        <f t="shared" ref="C217:C218" si="110">IF(AND(J217="NO",O217=""),"CMTS","")</f>
        <v/>
      </c>
      <c r="E217" s="37" t="s">
        <v>705</v>
      </c>
      <c r="F217" s="39" t="s">
        <v>60</v>
      </c>
      <c r="G217" s="30" t="s">
        <v>218</v>
      </c>
      <c r="H217" s="30" t="s">
        <v>229</v>
      </c>
      <c r="I217" s="30" t="s">
        <v>225</v>
      </c>
      <c r="J217" s="30"/>
      <c r="K217" s="30" t="s">
        <v>194</v>
      </c>
      <c r="L217" s="30"/>
      <c r="M217" s="30"/>
      <c r="N217" s="30"/>
      <c r="O217" s="31"/>
      <c r="P217" s="32"/>
      <c r="Q217" s="5"/>
      <c r="R217" s="10"/>
    </row>
    <row r="218" spans="1:18">
      <c r="A218" s="20" t="str">
        <f t="shared" si="108"/>
        <v>RESP</v>
      </c>
      <c r="B218" s="20" t="str">
        <f t="shared" si="109"/>
        <v>INIT</v>
      </c>
      <c r="C218" s="20" t="str">
        <f t="shared" si="110"/>
        <v/>
      </c>
      <c r="E218" s="37" t="s">
        <v>706</v>
      </c>
      <c r="F218" s="39" t="s">
        <v>64</v>
      </c>
      <c r="G218" s="30" t="s">
        <v>223</v>
      </c>
      <c r="H218" s="30" t="s">
        <v>229</v>
      </c>
      <c r="I218" s="30" t="s">
        <v>225</v>
      </c>
      <c r="J218" s="30"/>
      <c r="K218" s="30" t="s">
        <v>194</v>
      </c>
      <c r="L218" s="30"/>
      <c r="M218" s="30"/>
      <c r="N218" s="30"/>
      <c r="O218" s="31"/>
      <c r="P218" s="32"/>
      <c r="Q218" s="5"/>
      <c r="R218" s="10"/>
    </row>
    <row r="219" spans="1:18" ht="39.5">
      <c r="A219" s="20" t="str">
        <f>IF(J219="","RESP","")</f>
        <v>RESP</v>
      </c>
      <c r="B219" s="20" t="str">
        <f>IF(M219="","INIT","")</f>
        <v>INIT</v>
      </c>
      <c r="C219" s="20" t="str">
        <f>IF(AND(J219="NO",O219=""),"CMTS","")</f>
        <v/>
      </c>
      <c r="E219" s="43" t="s">
        <v>707</v>
      </c>
      <c r="F219" s="42" t="s">
        <v>250</v>
      </c>
      <c r="G219" s="30" t="s">
        <v>218</v>
      </c>
      <c r="H219" s="30" t="s">
        <v>229</v>
      </c>
      <c r="I219" s="30" t="s">
        <v>225</v>
      </c>
      <c r="J219" s="30"/>
      <c r="K219" s="30" t="s">
        <v>144</v>
      </c>
      <c r="L219" s="30"/>
      <c r="M219" s="30"/>
      <c r="N219" s="30"/>
      <c r="O219" s="31"/>
      <c r="P219" s="32"/>
      <c r="Q219" s="5"/>
      <c r="R219" s="10"/>
    </row>
    <row r="220" spans="1:18" ht="79.5" customHeight="1">
      <c r="A220" s="20" t="str">
        <f t="shared" ref="A220:A221" si="111">IF(J220="","RESP","")</f>
        <v>RESP</v>
      </c>
      <c r="B220" s="20" t="str">
        <f t="shared" ref="B220:B221" si="112">IF(M220="","INIT","")</f>
        <v>INIT</v>
      </c>
      <c r="C220" s="20" t="str">
        <f t="shared" ref="C220:C221" si="113">IF(AND(J220="NO",O220=""),"CMTS","")</f>
        <v/>
      </c>
      <c r="E220" s="43" t="s">
        <v>708</v>
      </c>
      <c r="F220" s="42" t="s">
        <v>251</v>
      </c>
      <c r="G220" s="30" t="s">
        <v>218</v>
      </c>
      <c r="H220" s="30" t="s">
        <v>229</v>
      </c>
      <c r="I220" s="30" t="s">
        <v>225</v>
      </c>
      <c r="J220" s="30"/>
      <c r="K220" s="30" t="s">
        <v>194</v>
      </c>
      <c r="L220" s="30"/>
      <c r="M220" s="30"/>
      <c r="N220" s="30"/>
      <c r="O220" s="31"/>
      <c r="P220" s="32"/>
      <c r="Q220" s="5"/>
      <c r="R220" s="10"/>
    </row>
    <row r="221" spans="1:18" ht="78.5">
      <c r="A221" s="20" t="str">
        <f t="shared" si="111"/>
        <v>RESP</v>
      </c>
      <c r="B221" s="20" t="str">
        <f t="shared" si="112"/>
        <v>INIT</v>
      </c>
      <c r="C221" s="20" t="str">
        <f t="shared" si="113"/>
        <v/>
      </c>
      <c r="E221" s="43" t="s">
        <v>709</v>
      </c>
      <c r="F221" s="42" t="s">
        <v>252</v>
      </c>
      <c r="G221" s="30" t="s">
        <v>218</v>
      </c>
      <c r="H221" s="30" t="s">
        <v>229</v>
      </c>
      <c r="I221" s="30" t="s">
        <v>225</v>
      </c>
      <c r="J221" s="30"/>
      <c r="K221" s="30" t="s">
        <v>194</v>
      </c>
      <c r="L221" s="30"/>
      <c r="M221" s="30"/>
      <c r="N221" s="30"/>
      <c r="O221" s="31"/>
      <c r="P221" s="32"/>
      <c r="Q221" s="5"/>
      <c r="R221" s="10"/>
    </row>
    <row r="222" spans="1:18" ht="78.5">
      <c r="A222" s="20" t="str">
        <f t="shared" ref="A222:A223" si="114">IF(J222="","RESP","")</f>
        <v>RESP</v>
      </c>
      <c r="B222" s="20" t="str">
        <f t="shared" ref="B222:B223" si="115">IF(M222="","INIT","")</f>
        <v>INIT</v>
      </c>
      <c r="C222" s="20" t="str">
        <f t="shared" ref="C222:C223" si="116">IF(AND(J222="NO",O222=""),"CMTS","")</f>
        <v/>
      </c>
      <c r="E222" s="45" t="s">
        <v>710</v>
      </c>
      <c r="F222" s="44" t="s">
        <v>297</v>
      </c>
      <c r="G222" s="30" t="s">
        <v>218</v>
      </c>
      <c r="H222" s="30" t="s">
        <v>229</v>
      </c>
      <c r="I222" s="30" t="s">
        <v>218</v>
      </c>
      <c r="J222" s="30"/>
      <c r="K222" s="30" t="s">
        <v>144</v>
      </c>
      <c r="L222" s="30"/>
      <c r="M222" s="30"/>
      <c r="N222" s="30"/>
      <c r="O222" s="31"/>
      <c r="P222" s="32"/>
      <c r="Q222" s="5"/>
      <c r="R222" s="10"/>
    </row>
    <row r="223" spans="1:18" ht="91.5">
      <c r="A223" s="20" t="str">
        <f t="shared" si="114"/>
        <v>RESP</v>
      </c>
      <c r="B223" s="20" t="str">
        <f t="shared" si="115"/>
        <v>INIT</v>
      </c>
      <c r="C223" s="20" t="str">
        <f t="shared" si="116"/>
        <v/>
      </c>
      <c r="E223" s="45" t="s">
        <v>711</v>
      </c>
      <c r="F223" s="44" t="s">
        <v>298</v>
      </c>
      <c r="G223" s="30" t="s">
        <v>218</v>
      </c>
      <c r="H223" s="30" t="s">
        <v>229</v>
      </c>
      <c r="I223" s="30" t="s">
        <v>218</v>
      </c>
      <c r="J223" s="30"/>
      <c r="K223" s="30" t="s">
        <v>194</v>
      </c>
      <c r="L223" s="30"/>
      <c r="M223" s="30"/>
      <c r="N223" s="30"/>
      <c r="O223" s="31"/>
      <c r="P223" s="32"/>
      <c r="Q223" s="5"/>
      <c r="R223" s="10"/>
    </row>
    <row r="226" spans="1:18" ht="27.5">
      <c r="A226" s="12" t="s">
        <v>210</v>
      </c>
      <c r="B226" s="13"/>
      <c r="C226" s="13"/>
      <c r="D226" s="2"/>
      <c r="E226" s="22" t="s">
        <v>964</v>
      </c>
      <c r="F226" s="23"/>
      <c r="G226" s="40" t="s">
        <v>214</v>
      </c>
      <c r="H226" s="40" t="s">
        <v>215</v>
      </c>
      <c r="I226" s="40" t="s">
        <v>219</v>
      </c>
      <c r="J226" s="40" t="s">
        <v>211</v>
      </c>
      <c r="K226" s="40" t="s">
        <v>216</v>
      </c>
      <c r="L226" s="40" t="s">
        <v>217</v>
      </c>
      <c r="M226" s="40" t="s">
        <v>220</v>
      </c>
      <c r="N226" s="40" t="s">
        <v>221</v>
      </c>
      <c r="O226" s="40" t="s">
        <v>208</v>
      </c>
      <c r="P226" s="41" t="s">
        <v>249</v>
      </c>
      <c r="Q226" s="2"/>
      <c r="R226" s="9" t="s">
        <v>213</v>
      </c>
    </row>
    <row r="227" spans="1:18" ht="26.5">
      <c r="A227" s="20" t="str">
        <f t="shared" ref="A227:A228" si="117">IF(J227="","RESP","")</f>
        <v>RESP</v>
      </c>
      <c r="B227" s="20" t="str">
        <f t="shared" ref="B227:B228" si="118">IF(M227="","INIT","")</f>
        <v>INIT</v>
      </c>
      <c r="C227" s="20" t="str">
        <f t="shared" ref="C227:C228" si="119">IF(AND(J227="NO",O227=""),"CMTS","")</f>
        <v/>
      </c>
      <c r="D227" s="5"/>
      <c r="E227" s="28" t="s">
        <v>965</v>
      </c>
      <c r="F227" s="36" t="s">
        <v>717</v>
      </c>
      <c r="G227" s="30" t="s">
        <v>218</v>
      </c>
      <c r="H227" s="30" t="s">
        <v>970</v>
      </c>
      <c r="I227" s="30" t="s">
        <v>218</v>
      </c>
      <c r="J227" s="30"/>
      <c r="K227" s="30" t="s">
        <v>144</v>
      </c>
      <c r="L227" s="30"/>
      <c r="M227" s="30"/>
      <c r="N227" s="30"/>
      <c r="O227" s="31"/>
      <c r="P227" s="32"/>
      <c r="Q227" s="5"/>
      <c r="R227" s="36" t="s">
        <v>647</v>
      </c>
    </row>
    <row r="228" spans="1:18" ht="26.5">
      <c r="A228" s="20" t="str">
        <f t="shared" si="117"/>
        <v>RESP</v>
      </c>
      <c r="B228" s="20" t="str">
        <f t="shared" si="118"/>
        <v>INIT</v>
      </c>
      <c r="C228" s="20" t="str">
        <f t="shared" si="119"/>
        <v/>
      </c>
      <c r="D228" s="5"/>
      <c r="E228" s="28" t="s">
        <v>966</v>
      </c>
      <c r="F228" s="36" t="s">
        <v>718</v>
      </c>
      <c r="G228" s="30" t="s">
        <v>218</v>
      </c>
      <c r="H228" s="30" t="s">
        <v>970</v>
      </c>
      <c r="I228" s="30" t="s">
        <v>218</v>
      </c>
      <c r="J228" s="30"/>
      <c r="K228" s="30" t="s">
        <v>144</v>
      </c>
      <c r="L228" s="30"/>
      <c r="M228" s="30"/>
      <c r="N228" s="30"/>
      <c r="O228" s="31"/>
      <c r="P228" s="32"/>
      <c r="Q228" s="5"/>
      <c r="R228" s="36" t="s">
        <v>647</v>
      </c>
    </row>
    <row r="229" spans="1:18" ht="26.5">
      <c r="A229" s="20" t="str">
        <f t="shared" ref="A229:A230" si="120">IF(J229="","RESP","")</f>
        <v>RESP</v>
      </c>
      <c r="B229" s="20" t="str">
        <f t="shared" ref="B229:B230" si="121">IF(M229="","INIT","")</f>
        <v>INIT</v>
      </c>
      <c r="C229" s="20" t="str">
        <f t="shared" ref="C229:C230" si="122">IF(AND(J229="NO",O229=""),"CMTS","")</f>
        <v/>
      </c>
      <c r="D229" s="5"/>
      <c r="E229" s="28" t="s">
        <v>967</v>
      </c>
      <c r="F229" s="36" t="s">
        <v>721</v>
      </c>
      <c r="G229" s="30" t="s">
        <v>218</v>
      </c>
      <c r="H229" s="30" t="s">
        <v>970</v>
      </c>
      <c r="I229" s="30" t="s">
        <v>218</v>
      </c>
      <c r="J229" s="30"/>
      <c r="K229" s="30" t="s">
        <v>144</v>
      </c>
      <c r="L229" s="30"/>
      <c r="M229" s="30"/>
      <c r="N229" s="30"/>
      <c r="O229" s="31"/>
      <c r="P229" s="32"/>
      <c r="Q229" s="5"/>
      <c r="R229" s="36" t="s">
        <v>647</v>
      </c>
    </row>
    <row r="230" spans="1:18">
      <c r="A230" s="20" t="str">
        <f t="shared" si="120"/>
        <v>RESP</v>
      </c>
      <c r="B230" s="20" t="str">
        <f t="shared" si="121"/>
        <v>INIT</v>
      </c>
      <c r="C230" s="20" t="str">
        <f t="shared" si="122"/>
        <v/>
      </c>
      <c r="D230" s="5"/>
      <c r="E230" s="28" t="s">
        <v>968</v>
      </c>
      <c r="F230" s="36" t="s">
        <v>723</v>
      </c>
      <c r="G230" s="30" t="s">
        <v>218</v>
      </c>
      <c r="H230" s="30" t="s">
        <v>970</v>
      </c>
      <c r="I230" s="30" t="s">
        <v>218</v>
      </c>
      <c r="J230" s="30"/>
      <c r="K230" s="30" t="s">
        <v>194</v>
      </c>
      <c r="L230" s="30"/>
      <c r="M230" s="30"/>
      <c r="N230" s="30"/>
      <c r="O230" s="31"/>
      <c r="P230" s="32"/>
      <c r="Q230" s="5"/>
      <c r="R230" s="10"/>
    </row>
    <row r="231" spans="1:18">
      <c r="A231" s="20" t="str">
        <f t="shared" ref="A231" si="123">IF(J231="","RESP","")</f>
        <v>RESP</v>
      </c>
      <c r="B231" s="20" t="str">
        <f t="shared" ref="B231" si="124">IF(M231="","INIT","")</f>
        <v>INIT</v>
      </c>
      <c r="C231" s="20" t="str">
        <f t="shared" ref="C231" si="125">IF(AND(J231="NO",O231=""),"CMTS","")</f>
        <v/>
      </c>
      <c r="D231" s="5"/>
      <c r="E231" s="28" t="s">
        <v>969</v>
      </c>
      <c r="F231" s="36" t="s">
        <v>726</v>
      </c>
      <c r="G231" s="30" t="s">
        <v>218</v>
      </c>
      <c r="H231" s="30" t="s">
        <v>970</v>
      </c>
      <c r="I231" s="30" t="s">
        <v>218</v>
      </c>
      <c r="J231" s="30"/>
      <c r="K231" s="30" t="s">
        <v>194</v>
      </c>
      <c r="L231" s="30"/>
      <c r="M231" s="30"/>
      <c r="N231" s="30"/>
      <c r="O231" s="31"/>
      <c r="P231" s="32"/>
      <c r="Q231" s="5"/>
      <c r="R231" s="10"/>
    </row>
    <row r="234" spans="1:18" ht="27.5">
      <c r="A234" s="12" t="s">
        <v>210</v>
      </c>
      <c r="B234" s="13"/>
      <c r="C234" s="13"/>
      <c r="D234" s="2"/>
      <c r="E234" s="22" t="s">
        <v>1076</v>
      </c>
      <c r="F234" s="23"/>
      <c r="G234" s="40" t="s">
        <v>214</v>
      </c>
      <c r="H234" s="40" t="s">
        <v>215</v>
      </c>
      <c r="I234" s="40" t="s">
        <v>219</v>
      </c>
      <c r="J234" s="40" t="s">
        <v>211</v>
      </c>
      <c r="K234" s="40" t="s">
        <v>216</v>
      </c>
      <c r="L234" s="40" t="s">
        <v>217</v>
      </c>
      <c r="M234" s="40" t="s">
        <v>220</v>
      </c>
      <c r="N234" s="40" t="s">
        <v>221</v>
      </c>
      <c r="O234" s="40" t="s">
        <v>208</v>
      </c>
      <c r="P234" s="41" t="s">
        <v>249</v>
      </c>
      <c r="Q234" s="2"/>
      <c r="R234" s="9" t="s">
        <v>213</v>
      </c>
    </row>
    <row r="235" spans="1:18">
      <c r="A235" s="20" t="str">
        <f t="shared" ref="A235:A236" si="126">IF(J235="","RESP","")</f>
        <v>RESP</v>
      </c>
      <c r="B235" s="20" t="str">
        <f t="shared" ref="B235:B236" si="127">IF(M235="","INIT","")</f>
        <v>INIT</v>
      </c>
      <c r="C235" s="20" t="str">
        <f t="shared" ref="C235:C236" si="128">IF(AND(J235="NO",O235=""),"CMTS","")</f>
        <v/>
      </c>
      <c r="D235" s="5"/>
      <c r="E235" s="28" t="s">
        <v>1077</v>
      </c>
      <c r="F235" s="36" t="s">
        <v>1079</v>
      </c>
      <c r="G235" s="30" t="s">
        <v>222</v>
      </c>
      <c r="H235" s="30" t="s">
        <v>1075</v>
      </c>
      <c r="I235" s="30" t="s">
        <v>218</v>
      </c>
      <c r="J235" s="30"/>
      <c r="K235" s="30" t="s">
        <v>144</v>
      </c>
      <c r="L235" s="30"/>
      <c r="M235" s="30"/>
      <c r="N235" s="30"/>
      <c r="O235" s="31"/>
      <c r="P235" s="32"/>
      <c r="Q235" s="5"/>
      <c r="R235" s="36"/>
    </row>
    <row r="236" spans="1:18">
      <c r="A236" s="20" t="str">
        <f t="shared" si="126"/>
        <v>RESP</v>
      </c>
      <c r="B236" s="20" t="str">
        <f t="shared" si="127"/>
        <v>INIT</v>
      </c>
      <c r="C236" s="20" t="str">
        <f t="shared" si="128"/>
        <v/>
      </c>
      <c r="D236" s="5"/>
      <c r="E236" s="28" t="s">
        <v>1078</v>
      </c>
      <c r="F236" s="36" t="s">
        <v>1155</v>
      </c>
      <c r="G236" s="30" t="s">
        <v>222</v>
      </c>
      <c r="H236" s="30" t="s">
        <v>1075</v>
      </c>
      <c r="I236" s="30" t="s">
        <v>218</v>
      </c>
      <c r="J236" s="30"/>
      <c r="K236" s="30" t="s">
        <v>144</v>
      </c>
      <c r="L236" s="30"/>
      <c r="M236" s="30"/>
      <c r="N236" s="30"/>
      <c r="O236" s="31"/>
      <c r="P236" s="32"/>
      <c r="Q236" s="5"/>
      <c r="R236" s="36"/>
    </row>
    <row r="237" spans="1:18">
      <c r="A237" s="20" t="str">
        <f t="shared" ref="A237:A238" si="129">IF(J237="","RESP","")</f>
        <v>RESP</v>
      </c>
      <c r="B237" s="20" t="str">
        <f t="shared" ref="B237:B238" si="130">IF(M237="","INIT","")</f>
        <v>INIT</v>
      </c>
      <c r="C237" s="20" t="str">
        <f t="shared" ref="C237:C238" si="131">IF(AND(J237="NO",O237=""),"CMTS","")</f>
        <v/>
      </c>
      <c r="D237" s="5"/>
      <c r="E237" s="28" t="s">
        <v>1077</v>
      </c>
      <c r="F237" s="36" t="s">
        <v>1084</v>
      </c>
      <c r="G237" s="30" t="s">
        <v>222</v>
      </c>
      <c r="H237" s="30" t="s">
        <v>1075</v>
      </c>
      <c r="I237" s="30" t="s">
        <v>218</v>
      </c>
      <c r="J237" s="30"/>
      <c r="K237" s="30" t="s">
        <v>144</v>
      </c>
      <c r="L237" s="30"/>
      <c r="M237" s="30"/>
      <c r="N237" s="30"/>
      <c r="O237" s="31"/>
      <c r="P237" s="32"/>
      <c r="Q237" s="5"/>
      <c r="R237" s="36"/>
    </row>
    <row r="238" spans="1:18">
      <c r="A238" s="20" t="str">
        <f t="shared" si="129"/>
        <v>RESP</v>
      </c>
      <c r="B238" s="20" t="str">
        <f t="shared" si="130"/>
        <v>INIT</v>
      </c>
      <c r="C238" s="20" t="str">
        <f t="shared" si="131"/>
        <v/>
      </c>
      <c r="D238" s="5"/>
      <c r="E238" s="28" t="s">
        <v>1078</v>
      </c>
      <c r="F238" s="36" t="s">
        <v>1085</v>
      </c>
      <c r="G238" s="30" t="s">
        <v>222</v>
      </c>
      <c r="H238" s="30" t="s">
        <v>1075</v>
      </c>
      <c r="I238" s="30" t="s">
        <v>218</v>
      </c>
      <c r="J238" s="30"/>
      <c r="K238" s="30" t="s">
        <v>144</v>
      </c>
      <c r="L238" s="30"/>
      <c r="M238" s="30"/>
      <c r="N238" s="30"/>
      <c r="O238" s="31"/>
      <c r="P238" s="32"/>
      <c r="Q238" s="5"/>
      <c r="R238" s="36"/>
    </row>
    <row r="239" spans="1:18">
      <c r="A239" s="20" t="str">
        <f t="shared" ref="A239" si="132">IF(J239="","RESP","")</f>
        <v>RESP</v>
      </c>
      <c r="B239" s="20" t="str">
        <f t="shared" ref="B239" si="133">IF(M239="","INIT","")</f>
        <v>INIT</v>
      </c>
      <c r="C239" s="20" t="str">
        <f t="shared" ref="C239" si="134">IF(AND(J239="NO",O239=""),"CMTS","")</f>
        <v/>
      </c>
      <c r="D239" s="5"/>
      <c r="E239" s="28" t="s">
        <v>1077</v>
      </c>
      <c r="F239" s="36" t="s">
        <v>1086</v>
      </c>
      <c r="G239" s="30" t="s">
        <v>222</v>
      </c>
      <c r="H239" s="30" t="s">
        <v>1075</v>
      </c>
      <c r="I239" s="30" t="s">
        <v>218</v>
      </c>
      <c r="J239" s="30"/>
      <c r="K239" s="30" t="s">
        <v>144</v>
      </c>
      <c r="L239" s="30"/>
      <c r="M239" s="30"/>
      <c r="N239" s="30"/>
      <c r="O239" s="31"/>
      <c r="P239" s="32"/>
      <c r="Q239" s="5"/>
      <c r="R239" s="36"/>
    </row>
    <row r="240" spans="1:18">
      <c r="A240" s="20" t="str">
        <f t="shared" ref="A240" si="135">IF(J240="","RESP","")</f>
        <v>RESP</v>
      </c>
      <c r="B240" s="20" t="str">
        <f t="shared" ref="B240" si="136">IF(M240="","INIT","")</f>
        <v>INIT</v>
      </c>
      <c r="C240" s="20" t="str">
        <f t="shared" ref="C240" si="137">IF(AND(J240="NO",O240=""),"CMTS","")</f>
        <v/>
      </c>
      <c r="D240" s="5"/>
      <c r="E240" s="28" t="s">
        <v>1077</v>
      </c>
      <c r="F240" s="36" t="s">
        <v>1106</v>
      </c>
      <c r="G240" s="30" t="s">
        <v>222</v>
      </c>
      <c r="H240" s="30" t="s">
        <v>1075</v>
      </c>
      <c r="I240" s="30" t="s">
        <v>218</v>
      </c>
      <c r="J240" s="30"/>
      <c r="K240" s="30" t="s">
        <v>144</v>
      </c>
      <c r="L240" s="30"/>
      <c r="M240" s="30"/>
      <c r="N240" s="30"/>
      <c r="O240" s="31"/>
      <c r="P240" s="32"/>
      <c r="Q240" s="5"/>
      <c r="R240" s="36"/>
    </row>
    <row r="243" spans="1:18" ht="27.5">
      <c r="A243" s="12" t="s">
        <v>210</v>
      </c>
      <c r="B243" s="13"/>
      <c r="C243" s="13"/>
      <c r="D243" s="2"/>
      <c r="E243" s="22" t="s">
        <v>773</v>
      </c>
      <c r="F243" s="23"/>
      <c r="G243" s="40" t="s">
        <v>214</v>
      </c>
      <c r="H243" s="40" t="s">
        <v>215</v>
      </c>
      <c r="I243" s="40" t="s">
        <v>219</v>
      </c>
      <c r="J243" s="40" t="s">
        <v>211</v>
      </c>
      <c r="K243" s="40" t="s">
        <v>216</v>
      </c>
      <c r="L243" s="40" t="s">
        <v>217</v>
      </c>
      <c r="M243" s="40" t="s">
        <v>220</v>
      </c>
      <c r="N243" s="40" t="s">
        <v>221</v>
      </c>
      <c r="O243" s="40" t="s">
        <v>208</v>
      </c>
      <c r="P243" s="41" t="s">
        <v>249</v>
      </c>
      <c r="Q243" s="2"/>
      <c r="R243" s="9" t="s">
        <v>213</v>
      </c>
    </row>
    <row r="244" spans="1:18">
      <c r="A244" s="20" t="str">
        <f t="shared" ref="A244:A251" si="138">IF(J244="","RESP","")</f>
        <v>RESP</v>
      </c>
      <c r="B244" s="20" t="str">
        <f t="shared" ref="B244:B251" si="139">IF(M244="","INIT","")</f>
        <v>INIT</v>
      </c>
      <c r="C244" s="20" t="str">
        <f t="shared" ref="C244:C251" si="140">IF(AND(J244="NO",O244=""),"CMTS","")</f>
        <v/>
      </c>
      <c r="D244" s="5"/>
      <c r="E244" s="28" t="s">
        <v>332</v>
      </c>
      <c r="F244" s="36" t="s">
        <v>67</v>
      </c>
      <c r="G244" s="30" t="s">
        <v>218</v>
      </c>
      <c r="H244" s="30" t="s">
        <v>218</v>
      </c>
      <c r="I244" s="30" t="s">
        <v>218</v>
      </c>
      <c r="J244" s="30"/>
      <c r="K244" s="30" t="s">
        <v>194</v>
      </c>
      <c r="L244" s="30"/>
      <c r="M244" s="30"/>
      <c r="N244" s="30"/>
      <c r="O244" s="31"/>
      <c r="P244" s="32"/>
      <c r="Q244" s="5"/>
      <c r="R244" s="10"/>
    </row>
    <row r="245" spans="1:18">
      <c r="A245" s="20" t="str">
        <f t="shared" si="138"/>
        <v>RESP</v>
      </c>
      <c r="B245" s="20" t="str">
        <f t="shared" si="139"/>
        <v>INIT</v>
      </c>
      <c r="C245" s="20" t="str">
        <f t="shared" si="140"/>
        <v/>
      </c>
      <c r="D245" s="5"/>
      <c r="E245" s="28" t="s">
        <v>333</v>
      </c>
      <c r="F245" s="36" t="s">
        <v>754</v>
      </c>
      <c r="G245" s="30" t="s">
        <v>218</v>
      </c>
      <c r="H245" s="30" t="s">
        <v>218</v>
      </c>
      <c r="I245" s="30" t="s">
        <v>218</v>
      </c>
      <c r="J245" s="30"/>
      <c r="K245" s="30" t="s">
        <v>144</v>
      </c>
      <c r="L245" s="30"/>
      <c r="M245" s="30"/>
      <c r="N245" s="30"/>
      <c r="O245" s="31"/>
      <c r="P245" s="32"/>
      <c r="Q245" s="5"/>
      <c r="R245" s="10"/>
    </row>
    <row r="246" spans="1:18">
      <c r="A246" s="20" t="str">
        <f t="shared" si="138"/>
        <v>RESP</v>
      </c>
      <c r="B246" s="20" t="str">
        <f t="shared" si="139"/>
        <v>INIT</v>
      </c>
      <c r="C246" s="20" t="str">
        <f t="shared" si="140"/>
        <v/>
      </c>
      <c r="D246" s="5"/>
      <c r="E246" s="28" t="s">
        <v>334</v>
      </c>
      <c r="F246" s="36" t="s">
        <v>68</v>
      </c>
      <c r="G246" s="30" t="s">
        <v>218</v>
      </c>
      <c r="H246" s="30" t="s">
        <v>218</v>
      </c>
      <c r="I246" s="30" t="s">
        <v>218</v>
      </c>
      <c r="J246" s="30"/>
      <c r="K246" s="30" t="s">
        <v>194</v>
      </c>
      <c r="L246" s="30"/>
      <c r="M246" s="30"/>
      <c r="N246" s="30"/>
      <c r="O246" s="31"/>
      <c r="P246" s="32"/>
      <c r="Q246" s="5"/>
      <c r="R246" s="10"/>
    </row>
    <row r="247" spans="1:18">
      <c r="A247" s="20" t="str">
        <f t="shared" si="138"/>
        <v>RESP</v>
      </c>
      <c r="B247" s="20" t="str">
        <f t="shared" si="139"/>
        <v>INIT</v>
      </c>
      <c r="C247" s="20" t="str">
        <f t="shared" si="140"/>
        <v/>
      </c>
      <c r="D247" s="5"/>
      <c r="E247" s="28" t="s">
        <v>335</v>
      </c>
      <c r="F247" s="36" t="s">
        <v>69</v>
      </c>
      <c r="G247" s="30" t="s">
        <v>218</v>
      </c>
      <c r="H247" s="30" t="s">
        <v>218</v>
      </c>
      <c r="I247" s="30" t="s">
        <v>218</v>
      </c>
      <c r="J247" s="30"/>
      <c r="K247" s="30" t="s">
        <v>194</v>
      </c>
      <c r="L247" s="30"/>
      <c r="M247" s="30"/>
      <c r="N247" s="30"/>
      <c r="O247" s="31"/>
      <c r="P247" s="32"/>
      <c r="Q247" s="5"/>
      <c r="R247" s="10"/>
    </row>
    <row r="248" spans="1:18">
      <c r="A248" s="20" t="str">
        <f t="shared" si="138"/>
        <v>RESP</v>
      </c>
      <c r="B248" s="20" t="str">
        <f t="shared" si="139"/>
        <v>INIT</v>
      </c>
      <c r="C248" s="20" t="str">
        <f t="shared" si="140"/>
        <v/>
      </c>
      <c r="D248" s="5"/>
      <c r="E248" s="28" t="s">
        <v>336</v>
      </c>
      <c r="F248" s="36" t="s">
        <v>70</v>
      </c>
      <c r="G248" s="30" t="s">
        <v>218</v>
      </c>
      <c r="H248" s="30" t="s">
        <v>218</v>
      </c>
      <c r="I248" s="30" t="s">
        <v>218</v>
      </c>
      <c r="J248" s="30"/>
      <c r="K248" s="30" t="s">
        <v>194</v>
      </c>
      <c r="L248" s="30"/>
      <c r="M248" s="30"/>
      <c r="N248" s="30"/>
      <c r="O248" s="31"/>
      <c r="P248" s="32"/>
      <c r="Q248" s="5"/>
      <c r="R248" s="10"/>
    </row>
    <row r="249" spans="1:18">
      <c r="A249" s="20" t="str">
        <f t="shared" si="138"/>
        <v>RESP</v>
      </c>
      <c r="B249" s="20" t="str">
        <f t="shared" si="139"/>
        <v>INIT</v>
      </c>
      <c r="C249" s="20" t="str">
        <f t="shared" si="140"/>
        <v/>
      </c>
      <c r="D249" s="5"/>
      <c r="E249" s="28" t="s">
        <v>337</v>
      </c>
      <c r="F249" s="36" t="s">
        <v>164</v>
      </c>
      <c r="G249" s="30" t="s">
        <v>218</v>
      </c>
      <c r="H249" s="30" t="s">
        <v>218</v>
      </c>
      <c r="I249" s="30" t="s">
        <v>218</v>
      </c>
      <c r="J249" s="30"/>
      <c r="K249" s="30" t="s">
        <v>144</v>
      </c>
      <c r="L249" s="30"/>
      <c r="M249" s="30"/>
      <c r="N249" s="30"/>
      <c r="O249" s="31"/>
      <c r="P249" s="32"/>
      <c r="Q249" s="5"/>
      <c r="R249" s="10"/>
    </row>
    <row r="250" spans="1:18" ht="39.5">
      <c r="A250" s="20" t="str">
        <f t="shared" si="138"/>
        <v>RESP</v>
      </c>
      <c r="B250" s="20" t="str">
        <f t="shared" si="139"/>
        <v>INIT</v>
      </c>
      <c r="C250" s="20" t="str">
        <f t="shared" si="140"/>
        <v/>
      </c>
      <c r="D250" s="5"/>
      <c r="E250" s="28" t="s">
        <v>338</v>
      </c>
      <c r="F250" s="36" t="s">
        <v>165</v>
      </c>
      <c r="G250" s="30" t="s">
        <v>218</v>
      </c>
      <c r="H250" s="30" t="s">
        <v>218</v>
      </c>
      <c r="I250" s="30" t="s">
        <v>218</v>
      </c>
      <c r="J250" s="30"/>
      <c r="K250" s="30" t="s">
        <v>144</v>
      </c>
      <c r="L250" s="30"/>
      <c r="M250" s="30"/>
      <c r="N250" s="30"/>
      <c r="O250" s="31"/>
      <c r="P250" s="32"/>
      <c r="Q250" s="5"/>
      <c r="R250" s="10"/>
    </row>
    <row r="251" spans="1:18">
      <c r="A251" s="20" t="str">
        <f t="shared" si="138"/>
        <v>RESP</v>
      </c>
      <c r="B251" s="20" t="str">
        <f t="shared" si="139"/>
        <v>INIT</v>
      </c>
      <c r="C251" s="20" t="str">
        <f t="shared" si="140"/>
        <v/>
      </c>
      <c r="D251" s="5"/>
      <c r="E251" s="28" t="s">
        <v>339</v>
      </c>
      <c r="F251" s="36" t="s">
        <v>71</v>
      </c>
      <c r="G251" s="30" t="s">
        <v>218</v>
      </c>
      <c r="H251" s="30" t="s">
        <v>218</v>
      </c>
      <c r="I251" s="30" t="s">
        <v>218</v>
      </c>
      <c r="J251" s="30"/>
      <c r="K251" s="30" t="s">
        <v>194</v>
      </c>
      <c r="L251" s="30"/>
      <c r="M251" s="30"/>
      <c r="N251" s="30"/>
      <c r="O251" s="31"/>
      <c r="P251" s="32"/>
      <c r="Q251" s="5"/>
      <c r="R251" s="10"/>
    </row>
    <row r="254" spans="1:18" ht="27.5">
      <c r="A254" s="12" t="s">
        <v>210</v>
      </c>
      <c r="B254" s="13"/>
      <c r="C254" s="13"/>
      <c r="D254" s="2"/>
      <c r="E254" s="22" t="s">
        <v>774</v>
      </c>
      <c r="F254" s="23"/>
      <c r="G254" s="40" t="s">
        <v>214</v>
      </c>
      <c r="H254" s="40" t="s">
        <v>215</v>
      </c>
      <c r="I254" s="40" t="s">
        <v>219</v>
      </c>
      <c r="J254" s="40" t="s">
        <v>211</v>
      </c>
      <c r="K254" s="40" t="s">
        <v>216</v>
      </c>
      <c r="L254" s="40" t="s">
        <v>217</v>
      </c>
      <c r="M254" s="40" t="s">
        <v>220</v>
      </c>
      <c r="N254" s="40" t="s">
        <v>221</v>
      </c>
      <c r="O254" s="40" t="s">
        <v>208</v>
      </c>
      <c r="P254" s="41" t="s">
        <v>249</v>
      </c>
      <c r="Q254" s="2"/>
      <c r="R254" s="9" t="s">
        <v>213</v>
      </c>
    </row>
    <row r="255" spans="1:18">
      <c r="A255" s="20" t="str">
        <f t="shared" ref="A255:A267" si="141">IF(J255="","RESP","")</f>
        <v>RESP</v>
      </c>
      <c r="B255" s="20" t="str">
        <f t="shared" ref="B255:B267" si="142">IF(M255="","INIT","")</f>
        <v>INIT</v>
      </c>
      <c r="C255" s="20" t="str">
        <f t="shared" ref="C255:C267" si="143">IF(AND(J255="NO",O255=""),"CMTS","")</f>
        <v/>
      </c>
      <c r="D255" s="5"/>
      <c r="E255" s="28" t="s">
        <v>409</v>
      </c>
      <c r="F255" s="36" t="s">
        <v>75</v>
      </c>
      <c r="G255" s="30" t="s">
        <v>223</v>
      </c>
      <c r="H255" s="30" t="s">
        <v>218</v>
      </c>
      <c r="I255" s="30" t="s">
        <v>218</v>
      </c>
      <c r="J255" s="30"/>
      <c r="K255" s="30" t="s">
        <v>144</v>
      </c>
      <c r="L255" s="30"/>
      <c r="M255" s="30"/>
      <c r="N255" s="30"/>
      <c r="O255" s="31"/>
      <c r="P255" s="32"/>
      <c r="Q255" s="5"/>
      <c r="R255" s="10"/>
    </row>
    <row r="256" spans="1:18">
      <c r="A256" s="20" t="str">
        <f t="shared" ref="A256" si="144">IF(J256="","RESP","")</f>
        <v>RESP</v>
      </c>
      <c r="B256" s="20" t="str">
        <f t="shared" ref="B256" si="145">IF(M256="","INIT","")</f>
        <v>INIT</v>
      </c>
      <c r="C256" s="20" t="str">
        <f t="shared" ref="C256" si="146">IF(AND(J256="NO",O256=""),"CMTS","")</f>
        <v/>
      </c>
      <c r="D256" s="5"/>
      <c r="E256" s="28" t="s">
        <v>410</v>
      </c>
      <c r="F256" s="36" t="s">
        <v>1090</v>
      </c>
      <c r="G256" s="30" t="s">
        <v>223</v>
      </c>
      <c r="H256" s="30" t="s">
        <v>218</v>
      </c>
      <c r="I256" s="30" t="s">
        <v>218</v>
      </c>
      <c r="J256" s="30"/>
      <c r="K256" s="30" t="s">
        <v>194</v>
      </c>
      <c r="L256" s="30"/>
      <c r="M256" s="30"/>
      <c r="N256" s="30"/>
      <c r="O256" s="31"/>
      <c r="P256" s="32"/>
      <c r="Q256" s="5"/>
      <c r="R256" s="10"/>
    </row>
    <row r="257" spans="1:18">
      <c r="A257" s="20" t="str">
        <f t="shared" ref="A257" si="147">IF(J257="","RESP","")</f>
        <v>RESP</v>
      </c>
      <c r="B257" s="20" t="str">
        <f t="shared" ref="B257" si="148">IF(M257="","INIT","")</f>
        <v>INIT</v>
      </c>
      <c r="C257" s="20" t="str">
        <f t="shared" ref="C257" si="149">IF(AND(J257="NO",O257=""),"CMTS","")</f>
        <v/>
      </c>
      <c r="D257" s="5"/>
      <c r="E257" s="28" t="s">
        <v>411</v>
      </c>
      <c r="F257" s="36" t="s">
        <v>1091</v>
      </c>
      <c r="G257" s="30" t="s">
        <v>223</v>
      </c>
      <c r="H257" s="30" t="s">
        <v>218</v>
      </c>
      <c r="I257" s="30" t="s">
        <v>218</v>
      </c>
      <c r="J257" s="30"/>
      <c r="K257" s="30" t="s">
        <v>144</v>
      </c>
      <c r="L257" s="30"/>
      <c r="M257" s="30"/>
      <c r="N257" s="30"/>
      <c r="O257" s="31"/>
      <c r="P257" s="32"/>
      <c r="Q257" s="5"/>
      <c r="R257" s="10"/>
    </row>
    <row r="258" spans="1:18">
      <c r="A258" s="20" t="str">
        <f t="shared" ref="A258" si="150">IF(J258="","RESP","")</f>
        <v>RESP</v>
      </c>
      <c r="B258" s="20" t="str">
        <f t="shared" ref="B258" si="151">IF(M258="","INIT","")</f>
        <v>INIT</v>
      </c>
      <c r="C258" s="20" t="str">
        <f t="shared" ref="C258" si="152">IF(AND(J258="NO",O258=""),"CMTS","")</f>
        <v/>
      </c>
      <c r="D258" s="5"/>
      <c r="E258" s="28" t="s">
        <v>412</v>
      </c>
      <c r="F258" s="36" t="s">
        <v>1094</v>
      </c>
      <c r="G258" s="30" t="s">
        <v>223</v>
      </c>
      <c r="H258" s="30" t="s">
        <v>218</v>
      </c>
      <c r="I258" s="30" t="s">
        <v>218</v>
      </c>
      <c r="J258" s="30"/>
      <c r="K258" s="30" t="s">
        <v>194</v>
      </c>
      <c r="L258" s="30"/>
      <c r="M258" s="30"/>
      <c r="N258" s="30"/>
      <c r="O258" s="31"/>
      <c r="P258" s="32"/>
      <c r="Q258" s="5"/>
      <c r="R258" s="10"/>
    </row>
    <row r="259" spans="1:18">
      <c r="A259" s="20" t="str">
        <f t="shared" ref="A259:A260" si="153">IF(J259="","RESP","")</f>
        <v>RESP</v>
      </c>
      <c r="B259" s="20" t="str">
        <f t="shared" ref="B259:B260" si="154">IF(M259="","INIT","")</f>
        <v>INIT</v>
      </c>
      <c r="C259" s="20" t="str">
        <f t="shared" ref="C259:C260" si="155">IF(AND(J259="NO",O259=""),"CMTS","")</f>
        <v/>
      </c>
      <c r="D259" s="5"/>
      <c r="E259" s="28" t="s">
        <v>413</v>
      </c>
      <c r="F259" s="36" t="s">
        <v>1096</v>
      </c>
      <c r="G259" s="30" t="s">
        <v>223</v>
      </c>
      <c r="H259" s="30" t="s">
        <v>218</v>
      </c>
      <c r="I259" s="30" t="s">
        <v>218</v>
      </c>
      <c r="J259" s="30"/>
      <c r="K259" s="30" t="s">
        <v>194</v>
      </c>
      <c r="L259" s="30"/>
      <c r="M259" s="30"/>
      <c r="N259" s="30"/>
      <c r="O259" s="31"/>
      <c r="P259" s="32"/>
      <c r="Q259" s="5"/>
      <c r="R259" s="10"/>
    </row>
    <row r="260" spans="1:18">
      <c r="A260" s="20" t="str">
        <f t="shared" si="153"/>
        <v>RESP</v>
      </c>
      <c r="B260" s="20" t="str">
        <f t="shared" si="154"/>
        <v>INIT</v>
      </c>
      <c r="C260" s="20" t="str">
        <f t="shared" si="155"/>
        <v/>
      </c>
      <c r="D260" s="5"/>
      <c r="E260" s="28" t="s">
        <v>747</v>
      </c>
      <c r="F260" s="36" t="s">
        <v>1097</v>
      </c>
      <c r="G260" s="30" t="s">
        <v>223</v>
      </c>
      <c r="H260" s="30" t="s">
        <v>218</v>
      </c>
      <c r="I260" s="30" t="s">
        <v>218</v>
      </c>
      <c r="J260" s="30"/>
      <c r="K260" s="30" t="s">
        <v>194</v>
      </c>
      <c r="L260" s="30"/>
      <c r="M260" s="30"/>
      <c r="N260" s="30"/>
      <c r="O260" s="31"/>
      <c r="P260" s="32"/>
      <c r="Q260" s="5"/>
      <c r="R260" s="10"/>
    </row>
    <row r="261" spans="1:18">
      <c r="A261" s="20" t="str">
        <f t="shared" si="141"/>
        <v>RESP</v>
      </c>
      <c r="B261" s="20" t="str">
        <f t="shared" si="142"/>
        <v>INIT</v>
      </c>
      <c r="C261" s="20" t="str">
        <f t="shared" si="143"/>
        <v/>
      </c>
      <c r="D261" s="5"/>
      <c r="E261" s="28" t="s">
        <v>748</v>
      </c>
      <c r="F261" s="36" t="s">
        <v>76</v>
      </c>
      <c r="G261" s="30" t="s">
        <v>223</v>
      </c>
      <c r="H261" s="30" t="s">
        <v>218</v>
      </c>
      <c r="I261" s="30" t="s">
        <v>218</v>
      </c>
      <c r="J261" s="30"/>
      <c r="K261" s="30" t="s">
        <v>144</v>
      </c>
      <c r="L261" s="30"/>
      <c r="M261" s="30"/>
      <c r="N261" s="30"/>
      <c r="O261" s="31"/>
      <c r="P261" s="32"/>
      <c r="Q261" s="5"/>
      <c r="R261" s="10"/>
    </row>
    <row r="262" spans="1:18">
      <c r="A262" s="20" t="str">
        <f t="shared" si="141"/>
        <v>RESP</v>
      </c>
      <c r="B262" s="20" t="str">
        <f t="shared" si="142"/>
        <v>INIT</v>
      </c>
      <c r="C262" s="20" t="str">
        <f t="shared" si="143"/>
        <v/>
      </c>
      <c r="D262" s="5"/>
      <c r="E262" s="28" t="s">
        <v>749</v>
      </c>
      <c r="F262" s="36" t="s">
        <v>77</v>
      </c>
      <c r="G262" s="30" t="s">
        <v>223</v>
      </c>
      <c r="H262" s="30" t="s">
        <v>218</v>
      </c>
      <c r="I262" s="30" t="s">
        <v>218</v>
      </c>
      <c r="J262" s="30"/>
      <c r="K262" s="30" t="s">
        <v>144</v>
      </c>
      <c r="L262" s="30"/>
      <c r="M262" s="30"/>
      <c r="N262" s="30"/>
      <c r="O262" s="31"/>
      <c r="P262" s="32"/>
      <c r="Q262" s="5"/>
      <c r="R262" s="10"/>
    </row>
    <row r="263" spans="1:18">
      <c r="A263" s="20" t="str">
        <f t="shared" si="141"/>
        <v>RESP</v>
      </c>
      <c r="B263" s="20" t="str">
        <f t="shared" si="142"/>
        <v>INIT</v>
      </c>
      <c r="C263" s="20" t="str">
        <f t="shared" si="143"/>
        <v/>
      </c>
      <c r="D263" s="5"/>
      <c r="E263" s="28" t="s">
        <v>750</v>
      </c>
      <c r="F263" s="36" t="s">
        <v>1093</v>
      </c>
      <c r="G263" s="30" t="s">
        <v>223</v>
      </c>
      <c r="H263" s="30" t="s">
        <v>218</v>
      </c>
      <c r="I263" s="30" t="s">
        <v>218</v>
      </c>
      <c r="J263" s="30"/>
      <c r="K263" s="30" t="s">
        <v>144</v>
      </c>
      <c r="L263" s="30"/>
      <c r="M263" s="30"/>
      <c r="N263" s="30"/>
      <c r="O263" s="31"/>
      <c r="P263" s="32"/>
      <c r="Q263" s="5"/>
      <c r="R263" s="10"/>
    </row>
    <row r="264" spans="1:18">
      <c r="A264" s="20" t="str">
        <f t="shared" si="141"/>
        <v>RESP</v>
      </c>
      <c r="B264" s="20" t="str">
        <f t="shared" si="142"/>
        <v>INIT</v>
      </c>
      <c r="C264" s="20" t="str">
        <f t="shared" si="143"/>
        <v/>
      </c>
      <c r="D264" s="5"/>
      <c r="E264" s="28" t="s">
        <v>775</v>
      </c>
      <c r="F264" s="36" t="s">
        <v>78</v>
      </c>
      <c r="G264" s="30" t="s">
        <v>223</v>
      </c>
      <c r="H264" s="30" t="s">
        <v>218</v>
      </c>
      <c r="I264" s="30" t="s">
        <v>218</v>
      </c>
      <c r="J264" s="30"/>
      <c r="K264" s="30" t="s">
        <v>194</v>
      </c>
      <c r="L264" s="30"/>
      <c r="M264" s="30"/>
      <c r="N264" s="30"/>
      <c r="O264" s="31"/>
      <c r="P264" s="32"/>
      <c r="Q264" s="5"/>
      <c r="R264" s="10"/>
    </row>
    <row r="265" spans="1:18">
      <c r="A265" s="20" t="str">
        <f t="shared" si="141"/>
        <v>RESP</v>
      </c>
      <c r="B265" s="20" t="str">
        <f t="shared" si="142"/>
        <v>INIT</v>
      </c>
      <c r="C265" s="20" t="str">
        <f t="shared" si="143"/>
        <v/>
      </c>
      <c r="D265" s="5"/>
      <c r="E265" s="28" t="s">
        <v>776</v>
      </c>
      <c r="F265" s="36" t="s">
        <v>79</v>
      </c>
      <c r="G265" s="30" t="s">
        <v>223</v>
      </c>
      <c r="H265" s="30" t="s">
        <v>218</v>
      </c>
      <c r="I265" s="30" t="s">
        <v>218</v>
      </c>
      <c r="J265" s="30"/>
      <c r="K265" s="30" t="s">
        <v>144</v>
      </c>
      <c r="L265" s="30"/>
      <c r="M265" s="30"/>
      <c r="N265" s="30"/>
      <c r="O265" s="31"/>
      <c r="P265" s="32"/>
      <c r="Q265" s="5"/>
      <c r="R265" s="10"/>
    </row>
    <row r="266" spans="1:18">
      <c r="A266" s="20" t="str">
        <f t="shared" si="141"/>
        <v>RESP</v>
      </c>
      <c r="B266" s="20" t="str">
        <f t="shared" si="142"/>
        <v>INIT</v>
      </c>
      <c r="C266" s="20" t="str">
        <f t="shared" si="143"/>
        <v/>
      </c>
      <c r="D266" s="5"/>
      <c r="E266" s="28" t="s">
        <v>777</v>
      </c>
      <c r="F266" s="36" t="s">
        <v>112</v>
      </c>
      <c r="G266" s="30" t="s">
        <v>223</v>
      </c>
      <c r="H266" s="30" t="s">
        <v>218</v>
      </c>
      <c r="I266" s="30" t="s">
        <v>218</v>
      </c>
      <c r="J266" s="30"/>
      <c r="K266" s="30" t="s">
        <v>194</v>
      </c>
      <c r="L266" s="30"/>
      <c r="M266" s="30"/>
      <c r="N266" s="30"/>
      <c r="O266" s="31"/>
      <c r="P266" s="32"/>
      <c r="Q266" s="5"/>
      <c r="R266" s="10"/>
    </row>
    <row r="267" spans="1:18">
      <c r="A267" s="20" t="str">
        <f t="shared" si="141"/>
        <v>RESP</v>
      </c>
      <c r="B267" s="20" t="str">
        <f t="shared" si="142"/>
        <v>INIT</v>
      </c>
      <c r="C267" s="20" t="str">
        <f t="shared" si="143"/>
        <v/>
      </c>
      <c r="D267" s="5"/>
      <c r="E267" s="28" t="s">
        <v>778</v>
      </c>
      <c r="F267" s="36" t="s">
        <v>113</v>
      </c>
      <c r="G267" s="30" t="s">
        <v>223</v>
      </c>
      <c r="H267" s="30" t="s">
        <v>218</v>
      </c>
      <c r="I267" s="30" t="s">
        <v>218</v>
      </c>
      <c r="J267" s="30"/>
      <c r="K267" s="30" t="s">
        <v>194</v>
      </c>
      <c r="L267" s="30"/>
      <c r="M267" s="30"/>
      <c r="N267" s="30"/>
      <c r="O267" s="31"/>
      <c r="P267" s="32"/>
      <c r="Q267" s="5"/>
      <c r="R267" s="10"/>
    </row>
    <row r="268" spans="1:18">
      <c r="A268" s="20" t="str">
        <f t="shared" ref="A268:A276" si="156">IF(J268="","RESP","")</f>
        <v>RESP</v>
      </c>
      <c r="B268" s="20" t="str">
        <f t="shared" ref="B268:B276" si="157">IF(M268="","INIT","")</f>
        <v>INIT</v>
      </c>
      <c r="C268" s="20" t="str">
        <f t="shared" ref="C268:C276" si="158">IF(AND(J268="NO",O268=""),"CMTS","")</f>
        <v/>
      </c>
      <c r="D268" s="5"/>
      <c r="E268" s="28" t="s">
        <v>779</v>
      </c>
      <c r="F268" s="36" t="s">
        <v>114</v>
      </c>
      <c r="G268" s="30" t="s">
        <v>223</v>
      </c>
      <c r="H268" s="30" t="s">
        <v>218</v>
      </c>
      <c r="I268" s="30" t="s">
        <v>218</v>
      </c>
      <c r="J268" s="30"/>
      <c r="K268" s="30" t="s">
        <v>194</v>
      </c>
      <c r="L268" s="30"/>
      <c r="M268" s="30"/>
      <c r="N268" s="30"/>
      <c r="O268" s="31"/>
      <c r="P268" s="32"/>
      <c r="Q268" s="5"/>
      <c r="R268" s="10"/>
    </row>
    <row r="269" spans="1:18">
      <c r="A269" s="20" t="str">
        <f t="shared" si="156"/>
        <v>RESP</v>
      </c>
      <c r="B269" s="20" t="str">
        <f t="shared" si="157"/>
        <v>INIT</v>
      </c>
      <c r="C269" s="20" t="str">
        <f t="shared" si="158"/>
        <v/>
      </c>
      <c r="D269" s="5"/>
      <c r="E269" s="28" t="s">
        <v>780</v>
      </c>
      <c r="F269" s="36" t="s">
        <v>115</v>
      </c>
      <c r="G269" s="30" t="s">
        <v>223</v>
      </c>
      <c r="H269" s="30" t="s">
        <v>218</v>
      </c>
      <c r="I269" s="30" t="s">
        <v>218</v>
      </c>
      <c r="J269" s="30"/>
      <c r="K269" s="30" t="s">
        <v>194</v>
      </c>
      <c r="L269" s="30"/>
      <c r="M269" s="30"/>
      <c r="N269" s="30"/>
      <c r="O269" s="31"/>
      <c r="P269" s="32"/>
      <c r="Q269" s="5"/>
      <c r="R269" s="10"/>
    </row>
    <row r="270" spans="1:18">
      <c r="A270" s="20" t="str">
        <f t="shared" ref="A270" si="159">IF(J270="","RESP","")</f>
        <v>RESP</v>
      </c>
      <c r="B270" s="20" t="str">
        <f t="shared" ref="B270" si="160">IF(M270="","INIT","")</f>
        <v>INIT</v>
      </c>
      <c r="C270" s="20" t="str">
        <f t="shared" ref="C270" si="161">IF(AND(J270="NO",O270=""),"CMTS","")</f>
        <v/>
      </c>
      <c r="D270" s="5"/>
      <c r="E270" s="28" t="s">
        <v>781</v>
      </c>
      <c r="F270" s="36" t="s">
        <v>865</v>
      </c>
      <c r="G270" s="30" t="s">
        <v>223</v>
      </c>
      <c r="H270" s="30" t="s">
        <v>218</v>
      </c>
      <c r="I270" s="30" t="s">
        <v>218</v>
      </c>
      <c r="J270" s="30"/>
      <c r="K270" s="30" t="s">
        <v>194</v>
      </c>
      <c r="L270" s="30"/>
      <c r="M270" s="30"/>
      <c r="N270" s="30"/>
      <c r="O270" s="31"/>
      <c r="P270" s="32"/>
      <c r="Q270" s="5"/>
      <c r="R270" s="10"/>
    </row>
    <row r="271" spans="1:18">
      <c r="A271" s="20" t="str">
        <f t="shared" ref="A271" si="162">IF(J271="","RESP","")</f>
        <v>RESP</v>
      </c>
      <c r="B271" s="20" t="str">
        <f t="shared" ref="B271" si="163">IF(M271="","INIT","")</f>
        <v>INIT</v>
      </c>
      <c r="C271" s="20" t="str">
        <f t="shared" ref="C271" si="164">IF(AND(J271="NO",O271=""),"CMTS","")</f>
        <v/>
      </c>
      <c r="D271" s="5"/>
      <c r="E271" s="28" t="s">
        <v>782</v>
      </c>
      <c r="F271" s="36" t="s">
        <v>869</v>
      </c>
      <c r="G271" s="30" t="s">
        <v>223</v>
      </c>
      <c r="H271" s="30" t="s">
        <v>218</v>
      </c>
      <c r="I271" s="30" t="s">
        <v>218</v>
      </c>
      <c r="J271" s="30"/>
      <c r="K271" s="30" t="s">
        <v>194</v>
      </c>
      <c r="L271" s="30"/>
      <c r="M271" s="30"/>
      <c r="N271" s="30"/>
      <c r="O271" s="31"/>
      <c r="P271" s="32"/>
      <c r="Q271" s="5"/>
      <c r="R271" s="10"/>
    </row>
    <row r="272" spans="1:18">
      <c r="A272" s="20" t="str">
        <f t="shared" si="156"/>
        <v>RESP</v>
      </c>
      <c r="B272" s="20" t="str">
        <f t="shared" si="157"/>
        <v>INIT</v>
      </c>
      <c r="C272" s="20" t="str">
        <f t="shared" si="158"/>
        <v/>
      </c>
      <c r="D272" s="5"/>
      <c r="E272" s="28" t="s">
        <v>866</v>
      </c>
      <c r="F272" s="36" t="s">
        <v>116</v>
      </c>
      <c r="G272" s="30" t="s">
        <v>223</v>
      </c>
      <c r="H272" s="30" t="s">
        <v>218</v>
      </c>
      <c r="I272" s="30" t="s">
        <v>218</v>
      </c>
      <c r="J272" s="30"/>
      <c r="K272" s="30" t="s">
        <v>194</v>
      </c>
      <c r="L272" s="30"/>
      <c r="M272" s="30"/>
      <c r="N272" s="30"/>
      <c r="O272" s="31"/>
      <c r="P272" s="32"/>
      <c r="Q272" s="5"/>
      <c r="R272" s="10"/>
    </row>
    <row r="273" spans="1:18">
      <c r="A273" s="20" t="str">
        <f t="shared" ref="A273" si="165">IF(J273="","RESP","")</f>
        <v>RESP</v>
      </c>
      <c r="B273" s="20" t="str">
        <f t="shared" ref="B273" si="166">IF(M273="","INIT","")</f>
        <v>INIT</v>
      </c>
      <c r="C273" s="20" t="str">
        <f t="shared" ref="C273" si="167">IF(AND(J273="NO",O273=""),"CMTS","")</f>
        <v/>
      </c>
      <c r="D273" s="5"/>
      <c r="E273" s="28" t="s">
        <v>867</v>
      </c>
      <c r="F273" s="36" t="s">
        <v>1104</v>
      </c>
      <c r="G273" s="30" t="s">
        <v>223</v>
      </c>
      <c r="H273" s="30" t="s">
        <v>218</v>
      </c>
      <c r="I273" s="30" t="s">
        <v>218</v>
      </c>
      <c r="J273" s="30"/>
      <c r="K273" s="30" t="s">
        <v>194</v>
      </c>
      <c r="L273" s="30"/>
      <c r="M273" s="30"/>
      <c r="N273" s="30"/>
      <c r="O273" s="31"/>
      <c r="P273" s="32"/>
      <c r="Q273" s="5"/>
      <c r="R273" s="10"/>
    </row>
    <row r="274" spans="1:18">
      <c r="A274" s="20" t="str">
        <f t="shared" ref="A274" si="168">IF(J274="","RESP","")</f>
        <v>RESP</v>
      </c>
      <c r="B274" s="20" t="str">
        <f t="shared" ref="B274" si="169">IF(M274="","INIT","")</f>
        <v>INIT</v>
      </c>
      <c r="C274" s="20" t="str">
        <f t="shared" ref="C274" si="170">IF(AND(J274="NO",O274=""),"CMTS","")</f>
        <v/>
      </c>
      <c r="D274" s="5"/>
      <c r="E274" s="28" t="s">
        <v>868</v>
      </c>
      <c r="F274" s="36" t="s">
        <v>271</v>
      </c>
      <c r="G274" s="30" t="s">
        <v>223</v>
      </c>
      <c r="H274" s="30" t="s">
        <v>218</v>
      </c>
      <c r="I274" s="30" t="s">
        <v>218</v>
      </c>
      <c r="J274" s="30"/>
      <c r="K274" s="30" t="s">
        <v>194</v>
      </c>
      <c r="L274" s="30"/>
      <c r="M274" s="30"/>
      <c r="N274" s="30"/>
      <c r="O274" s="31"/>
      <c r="P274" s="32"/>
      <c r="Q274" s="5"/>
      <c r="R274" s="10"/>
    </row>
    <row r="275" spans="1:18">
      <c r="A275" s="20" t="str">
        <f t="shared" si="156"/>
        <v>RESP</v>
      </c>
      <c r="B275" s="20" t="str">
        <f t="shared" si="157"/>
        <v>INIT</v>
      </c>
      <c r="C275" s="20" t="str">
        <f t="shared" si="158"/>
        <v/>
      </c>
      <c r="D275" s="5"/>
      <c r="E275" s="28" t="s">
        <v>870</v>
      </c>
      <c r="F275" s="36" t="s">
        <v>755</v>
      </c>
      <c r="G275" s="30" t="s">
        <v>223</v>
      </c>
      <c r="H275" s="30" t="s">
        <v>218</v>
      </c>
      <c r="I275" s="30" t="s">
        <v>218</v>
      </c>
      <c r="J275" s="30"/>
      <c r="K275" s="30" t="s">
        <v>194</v>
      </c>
      <c r="L275" s="30"/>
      <c r="M275" s="30"/>
      <c r="N275" s="30"/>
      <c r="O275" s="31"/>
      <c r="P275" s="32"/>
      <c r="Q275" s="5"/>
      <c r="R275" s="10"/>
    </row>
    <row r="276" spans="1:18">
      <c r="A276" s="20" t="str">
        <f t="shared" si="156"/>
        <v>RESP</v>
      </c>
      <c r="B276" s="20" t="str">
        <f t="shared" si="157"/>
        <v>INIT</v>
      </c>
      <c r="C276" s="20" t="str">
        <f t="shared" si="158"/>
        <v/>
      </c>
      <c r="D276" s="5"/>
      <c r="E276" s="28" t="s">
        <v>1088</v>
      </c>
      <c r="F276" s="36" t="s">
        <v>80</v>
      </c>
      <c r="G276" s="30" t="s">
        <v>223</v>
      </c>
      <c r="H276" s="30" t="s">
        <v>218</v>
      </c>
      <c r="I276" s="30" t="s">
        <v>218</v>
      </c>
      <c r="J276" s="30"/>
      <c r="K276" s="30" t="s">
        <v>194</v>
      </c>
      <c r="L276" s="30"/>
      <c r="M276" s="30"/>
      <c r="N276" s="30"/>
      <c r="O276" s="31"/>
      <c r="P276" s="32"/>
      <c r="Q276" s="5"/>
      <c r="R276" s="10"/>
    </row>
    <row r="277" spans="1:18" ht="26.5">
      <c r="A277" s="20" t="str">
        <f t="shared" ref="A277" si="171">IF(J277="","RESP","")</f>
        <v>RESP</v>
      </c>
      <c r="B277" s="20" t="str">
        <f t="shared" ref="B277" si="172">IF(M277="","INIT","")</f>
        <v>INIT</v>
      </c>
      <c r="C277" s="20" t="str">
        <f t="shared" ref="C277" si="173">IF(AND(J277="NO",O277=""),"CMTS","")</f>
        <v/>
      </c>
      <c r="D277" s="5"/>
      <c r="E277" s="28" t="s">
        <v>1089</v>
      </c>
      <c r="F277" s="36" t="s">
        <v>756</v>
      </c>
      <c r="G277" s="30" t="s">
        <v>223</v>
      </c>
      <c r="H277" s="30" t="s">
        <v>218</v>
      </c>
      <c r="I277" s="30" t="s">
        <v>218</v>
      </c>
      <c r="J277" s="30"/>
      <c r="K277" s="30" t="s">
        <v>144</v>
      </c>
      <c r="L277" s="30"/>
      <c r="M277" s="30"/>
      <c r="N277" s="30"/>
      <c r="O277" s="31"/>
      <c r="P277" s="32"/>
      <c r="Q277" s="5"/>
      <c r="R277" s="36" t="s">
        <v>647</v>
      </c>
    </row>
    <row r="278" spans="1:18">
      <c r="A278" s="20" t="str">
        <f t="shared" ref="A278" si="174">IF(J278="","RESP","")</f>
        <v>RESP</v>
      </c>
      <c r="B278" s="20" t="str">
        <f t="shared" ref="B278" si="175">IF(M278="","INIT","")</f>
        <v>INIT</v>
      </c>
      <c r="C278" s="20" t="str">
        <f t="shared" ref="C278" si="176">IF(AND(J278="NO",O278=""),"CMTS","")</f>
        <v/>
      </c>
      <c r="D278" s="5"/>
      <c r="E278" s="28" t="s">
        <v>1092</v>
      </c>
      <c r="F278" s="36" t="s">
        <v>896</v>
      </c>
      <c r="G278" s="30" t="s">
        <v>223</v>
      </c>
      <c r="H278" s="30" t="s">
        <v>218</v>
      </c>
      <c r="I278" s="30" t="s">
        <v>218</v>
      </c>
      <c r="J278" s="30"/>
      <c r="K278" s="30" t="s">
        <v>144</v>
      </c>
      <c r="L278" s="30"/>
      <c r="M278" s="30"/>
      <c r="N278" s="30"/>
      <c r="O278" s="31"/>
      <c r="P278" s="32"/>
      <c r="Q278" s="5"/>
      <c r="R278" s="10"/>
    </row>
    <row r="279" spans="1:18" ht="26.5">
      <c r="A279" s="20" t="str">
        <f t="shared" ref="A279" si="177">IF(J279="","RESP","")</f>
        <v>RESP</v>
      </c>
      <c r="B279" s="20" t="str">
        <f t="shared" ref="B279" si="178">IF(M279="","INIT","")</f>
        <v>INIT</v>
      </c>
      <c r="C279" s="20" t="str">
        <f t="shared" ref="C279" si="179">IF(AND(J279="NO",O279=""),"CMTS","")</f>
        <v/>
      </c>
      <c r="D279" s="5"/>
      <c r="E279" s="28" t="s">
        <v>1095</v>
      </c>
      <c r="F279" s="36" t="s">
        <v>757</v>
      </c>
      <c r="G279" s="30" t="s">
        <v>223</v>
      </c>
      <c r="H279" s="30" t="s">
        <v>218</v>
      </c>
      <c r="I279" s="30" t="s">
        <v>218</v>
      </c>
      <c r="J279" s="30"/>
      <c r="K279" s="30" t="s">
        <v>144</v>
      </c>
      <c r="L279" s="30"/>
      <c r="M279" s="30"/>
      <c r="N279" s="30"/>
      <c r="O279" s="31"/>
      <c r="P279" s="32"/>
      <c r="Q279" s="5"/>
      <c r="R279" s="36" t="s">
        <v>647</v>
      </c>
    </row>
    <row r="280" spans="1:18">
      <c r="A280" s="20" t="str">
        <f t="shared" ref="A280" si="180">IF(J280="","RESP","")</f>
        <v>RESP</v>
      </c>
      <c r="B280" s="20" t="str">
        <f t="shared" ref="B280" si="181">IF(M280="","INIT","")</f>
        <v>INIT</v>
      </c>
      <c r="C280" s="20" t="str">
        <f t="shared" ref="C280" si="182">IF(AND(J280="NO",O280=""),"CMTS","")</f>
        <v/>
      </c>
      <c r="D280" s="5"/>
      <c r="E280" s="28" t="s">
        <v>1098</v>
      </c>
      <c r="F280" s="36" t="s">
        <v>863</v>
      </c>
      <c r="G280" s="30" t="s">
        <v>223</v>
      </c>
      <c r="H280" s="30" t="s">
        <v>218</v>
      </c>
      <c r="I280" s="30" t="s">
        <v>218</v>
      </c>
      <c r="J280" s="30"/>
      <c r="K280" s="30" t="s">
        <v>194</v>
      </c>
      <c r="L280" s="30"/>
      <c r="M280" s="30"/>
      <c r="N280" s="30"/>
      <c r="O280" s="31"/>
      <c r="P280" s="32"/>
      <c r="Q280" s="5"/>
      <c r="R280" s="36"/>
    </row>
    <row r="281" spans="1:18">
      <c r="A281" s="20" t="str">
        <f t="shared" ref="A281:A282" si="183">IF(J281="","RESP","")</f>
        <v>RESP</v>
      </c>
      <c r="B281" s="20" t="str">
        <f t="shared" ref="B281:B282" si="184">IF(M281="","INIT","")</f>
        <v>INIT</v>
      </c>
      <c r="C281" s="20" t="str">
        <f t="shared" ref="C281:C282" si="185">IF(AND(J281="NO",O281=""),"CMTS","")</f>
        <v/>
      </c>
      <c r="D281" s="5"/>
      <c r="E281" s="28" t="s">
        <v>1099</v>
      </c>
      <c r="F281" s="64" t="s">
        <v>864</v>
      </c>
      <c r="G281" s="30" t="s">
        <v>223</v>
      </c>
      <c r="H281" s="30" t="s">
        <v>218</v>
      </c>
      <c r="I281" s="30" t="s">
        <v>218</v>
      </c>
      <c r="J281" s="30"/>
      <c r="K281" s="30" t="s">
        <v>194</v>
      </c>
      <c r="L281" s="30"/>
      <c r="M281" s="30"/>
      <c r="N281" s="30"/>
      <c r="O281" s="31"/>
      <c r="P281" s="32"/>
      <c r="Q281" s="5"/>
      <c r="R281" s="36"/>
    </row>
    <row r="282" spans="1:18" ht="26.5">
      <c r="A282" s="20" t="str">
        <f t="shared" si="183"/>
        <v>RESP</v>
      </c>
      <c r="B282" s="20" t="str">
        <f t="shared" si="184"/>
        <v>INIT</v>
      </c>
      <c r="C282" s="20" t="str">
        <f t="shared" si="185"/>
        <v/>
      </c>
      <c r="D282" s="5"/>
      <c r="E282" s="28" t="s">
        <v>1105</v>
      </c>
      <c r="F282" s="36" t="s">
        <v>871</v>
      </c>
      <c r="G282" s="30" t="s">
        <v>223</v>
      </c>
      <c r="H282" s="30" t="s">
        <v>218</v>
      </c>
      <c r="I282" s="30" t="s">
        <v>218</v>
      </c>
      <c r="J282" s="30"/>
      <c r="K282" s="30" t="s">
        <v>144</v>
      </c>
      <c r="L282" s="30"/>
      <c r="M282" s="30"/>
      <c r="N282" s="30"/>
      <c r="O282" s="31"/>
      <c r="P282" s="32"/>
      <c r="Q282" s="5"/>
      <c r="R282" s="36" t="s">
        <v>647</v>
      </c>
    </row>
    <row r="283" spans="1:18">
      <c r="A283" s="4"/>
      <c r="B283" s="4"/>
      <c r="C283" s="4"/>
      <c r="D283" s="5"/>
      <c r="E283" s="61"/>
      <c r="F283" s="49"/>
      <c r="G283" s="46"/>
      <c r="H283" s="46"/>
      <c r="I283" s="46"/>
      <c r="J283" s="46"/>
      <c r="K283" s="46"/>
      <c r="L283" s="46"/>
      <c r="M283" s="46"/>
      <c r="N283" s="46"/>
      <c r="O283" s="47"/>
      <c r="P283" s="48"/>
      <c r="Q283" s="5"/>
      <c r="R283" s="49"/>
    </row>
    <row r="284" spans="1:18">
      <c r="A284" s="4"/>
      <c r="B284" s="4"/>
      <c r="C284" s="4"/>
      <c r="D284" s="5"/>
      <c r="E284" s="61"/>
      <c r="F284" s="49"/>
      <c r="G284" s="46"/>
      <c r="H284" s="46"/>
      <c r="I284" s="46"/>
      <c r="J284" s="46"/>
      <c r="K284" s="46"/>
      <c r="L284" s="46"/>
      <c r="M284" s="46"/>
      <c r="N284" s="46"/>
      <c r="O284" s="47"/>
      <c r="P284" s="48"/>
      <c r="Q284" s="5"/>
      <c r="R284" s="49"/>
    </row>
    <row r="285" spans="1:18" ht="27.5">
      <c r="A285" s="12" t="s">
        <v>210</v>
      </c>
      <c r="B285" s="13"/>
      <c r="C285" s="13"/>
      <c r="D285" s="2"/>
      <c r="E285" s="22" t="s">
        <v>971</v>
      </c>
      <c r="F285" s="23"/>
      <c r="G285" s="40" t="s">
        <v>214</v>
      </c>
      <c r="H285" s="40" t="s">
        <v>215</v>
      </c>
      <c r="I285" s="40" t="s">
        <v>219</v>
      </c>
      <c r="J285" s="40" t="s">
        <v>211</v>
      </c>
      <c r="K285" s="40" t="s">
        <v>216</v>
      </c>
      <c r="L285" s="40" t="s">
        <v>217</v>
      </c>
      <c r="M285" s="40" t="s">
        <v>220</v>
      </c>
      <c r="N285" s="40" t="s">
        <v>221</v>
      </c>
      <c r="O285" s="40" t="s">
        <v>208</v>
      </c>
      <c r="P285" s="41" t="s">
        <v>249</v>
      </c>
      <c r="Q285" s="2"/>
      <c r="R285" s="9" t="s">
        <v>213</v>
      </c>
    </row>
    <row r="286" spans="1:18" ht="26.5">
      <c r="A286" s="20" t="str">
        <f t="shared" ref="A286:A293" si="186">IF(J286="","RESP","")</f>
        <v>RESP</v>
      </c>
      <c r="B286" s="20" t="str">
        <f t="shared" ref="B286:B293" si="187">IF(M286="","INIT","")</f>
        <v>INIT</v>
      </c>
      <c r="C286" s="20" t="str">
        <f t="shared" ref="C286:C293" si="188">IF(AND(J286="NO",O286=""),"CMTS","")</f>
        <v/>
      </c>
      <c r="D286" s="5"/>
      <c r="E286" s="28" t="s">
        <v>972</v>
      </c>
      <c r="F286" s="36" t="s">
        <v>73</v>
      </c>
      <c r="G286" s="30" t="s">
        <v>223</v>
      </c>
      <c r="H286" s="30" t="s">
        <v>255</v>
      </c>
      <c r="I286" s="30" t="s">
        <v>225</v>
      </c>
      <c r="J286" s="30"/>
      <c r="K286" s="30" t="s">
        <v>144</v>
      </c>
      <c r="L286" s="30"/>
      <c r="M286" s="30"/>
      <c r="N286" s="30"/>
      <c r="O286" s="31"/>
      <c r="P286" s="32"/>
      <c r="Q286" s="5"/>
      <c r="R286" s="10"/>
    </row>
    <row r="287" spans="1:18">
      <c r="A287" s="20" t="str">
        <f t="shared" si="186"/>
        <v>RESP</v>
      </c>
      <c r="B287" s="20" t="str">
        <f t="shared" si="187"/>
        <v>INIT</v>
      </c>
      <c r="C287" s="20" t="str">
        <f t="shared" si="188"/>
        <v/>
      </c>
      <c r="D287" s="5"/>
      <c r="E287" s="28" t="s">
        <v>973</v>
      </c>
      <c r="F287" s="36" t="s">
        <v>74</v>
      </c>
      <c r="G287" s="30" t="s">
        <v>223</v>
      </c>
      <c r="H287" s="30" t="s">
        <v>255</v>
      </c>
      <c r="I287" s="30" t="s">
        <v>225</v>
      </c>
      <c r="J287" s="30"/>
      <c r="K287" s="30" t="s">
        <v>144</v>
      </c>
      <c r="L287" s="30"/>
      <c r="M287" s="30"/>
      <c r="N287" s="30"/>
      <c r="O287" s="31"/>
      <c r="P287" s="32"/>
      <c r="Q287" s="5"/>
      <c r="R287" s="10"/>
    </row>
    <row r="288" spans="1:18" ht="26.5">
      <c r="A288" s="20" t="str">
        <f t="shared" si="186"/>
        <v>RESP</v>
      </c>
      <c r="B288" s="20" t="str">
        <f t="shared" si="187"/>
        <v>INIT</v>
      </c>
      <c r="C288" s="20" t="str">
        <f t="shared" si="188"/>
        <v/>
      </c>
      <c r="D288" s="5"/>
      <c r="E288" s="28" t="s">
        <v>974</v>
      </c>
      <c r="F288" s="36" t="s">
        <v>272</v>
      </c>
      <c r="G288" s="30" t="s">
        <v>223</v>
      </c>
      <c r="H288" s="30" t="s">
        <v>254</v>
      </c>
      <c r="I288" s="30" t="s">
        <v>225</v>
      </c>
      <c r="J288" s="30"/>
      <c r="K288" s="30" t="s">
        <v>144</v>
      </c>
      <c r="L288" s="30"/>
      <c r="M288" s="30"/>
      <c r="N288" s="30"/>
      <c r="O288" s="31"/>
      <c r="P288" s="32"/>
      <c r="Q288" s="5"/>
      <c r="R288" s="10"/>
    </row>
    <row r="289" spans="1:18">
      <c r="A289" s="20" t="str">
        <f t="shared" si="186"/>
        <v>RESP</v>
      </c>
      <c r="B289" s="20" t="str">
        <f t="shared" si="187"/>
        <v>INIT</v>
      </c>
      <c r="C289" s="20" t="str">
        <f t="shared" si="188"/>
        <v/>
      </c>
      <c r="D289" s="5"/>
      <c r="E289" s="28" t="s">
        <v>975</v>
      </c>
      <c r="F289" s="36" t="s">
        <v>72</v>
      </c>
      <c r="G289" s="30" t="s">
        <v>223</v>
      </c>
      <c r="H289" s="30" t="s">
        <v>229</v>
      </c>
      <c r="I289" s="30" t="s">
        <v>225</v>
      </c>
      <c r="J289" s="30"/>
      <c r="K289" s="30" t="s">
        <v>144</v>
      </c>
      <c r="L289" s="30"/>
      <c r="M289" s="30"/>
      <c r="N289" s="30"/>
      <c r="O289" s="31"/>
      <c r="P289" s="32"/>
      <c r="Q289" s="5"/>
      <c r="R289" s="10"/>
    </row>
    <row r="290" spans="1:18" ht="39.5">
      <c r="A290" s="20" t="str">
        <f t="shared" si="186"/>
        <v>RESP</v>
      </c>
      <c r="B290" s="20" t="str">
        <f t="shared" si="187"/>
        <v>INIT</v>
      </c>
      <c r="C290" s="20" t="str">
        <f t="shared" si="188"/>
        <v/>
      </c>
      <c r="D290" s="5"/>
      <c r="E290" s="28" t="s">
        <v>976</v>
      </c>
      <c r="F290" s="36" t="s">
        <v>273</v>
      </c>
      <c r="G290" s="30" t="s">
        <v>223</v>
      </c>
      <c r="H290" s="30" t="s">
        <v>229</v>
      </c>
      <c r="I290" s="30" t="s">
        <v>225</v>
      </c>
      <c r="J290" s="30"/>
      <c r="K290" s="30" t="s">
        <v>144</v>
      </c>
      <c r="L290" s="30"/>
      <c r="M290" s="30"/>
      <c r="N290" s="30"/>
      <c r="O290" s="31"/>
      <c r="P290" s="32"/>
      <c r="Q290" s="5"/>
      <c r="R290" s="10"/>
    </row>
    <row r="291" spans="1:18" ht="30.5" customHeight="1">
      <c r="A291" s="20" t="str">
        <f t="shared" si="186"/>
        <v>RESP</v>
      </c>
      <c r="B291" s="20" t="str">
        <f t="shared" si="187"/>
        <v>INIT</v>
      </c>
      <c r="C291" s="20" t="str">
        <f t="shared" si="188"/>
        <v/>
      </c>
      <c r="D291" s="5"/>
      <c r="E291" s="37" t="s">
        <v>977</v>
      </c>
      <c r="F291" s="39" t="s">
        <v>320</v>
      </c>
      <c r="G291" s="30" t="s">
        <v>223</v>
      </c>
      <c r="H291" s="30" t="s">
        <v>254</v>
      </c>
      <c r="I291" s="30" t="s">
        <v>218</v>
      </c>
      <c r="J291" s="30"/>
      <c r="K291" s="30" t="s">
        <v>144</v>
      </c>
      <c r="L291" s="30"/>
      <c r="M291" s="30"/>
      <c r="N291" s="30"/>
      <c r="O291" s="31"/>
      <c r="P291" s="32"/>
      <c r="Q291" s="5"/>
      <c r="R291" s="10"/>
    </row>
    <row r="292" spans="1:18" ht="26.5">
      <c r="A292" s="20" t="str">
        <f t="shared" si="186"/>
        <v>RESP</v>
      </c>
      <c r="B292" s="20" t="str">
        <f t="shared" si="187"/>
        <v>INIT</v>
      </c>
      <c r="C292" s="20" t="str">
        <f t="shared" si="188"/>
        <v/>
      </c>
      <c r="D292" s="5"/>
      <c r="E292" s="37" t="s">
        <v>978</v>
      </c>
      <c r="F292" s="39" t="s">
        <v>321</v>
      </c>
      <c r="G292" s="30" t="s">
        <v>223</v>
      </c>
      <c r="H292" s="30" t="s">
        <v>254</v>
      </c>
      <c r="I292" s="30" t="s">
        <v>218</v>
      </c>
      <c r="J292" s="30"/>
      <c r="K292" s="30" t="s">
        <v>144</v>
      </c>
      <c r="L292" s="30"/>
      <c r="M292" s="30"/>
      <c r="N292" s="30"/>
      <c r="O292" s="31"/>
      <c r="P292" s="32"/>
      <c r="Q292" s="5"/>
      <c r="R292" s="10"/>
    </row>
    <row r="293" spans="1:18" ht="26.5">
      <c r="A293" s="20" t="str">
        <f t="shared" si="186"/>
        <v>RESP</v>
      </c>
      <c r="B293" s="20" t="str">
        <f t="shared" si="187"/>
        <v>INIT</v>
      </c>
      <c r="C293" s="20" t="str">
        <f t="shared" si="188"/>
        <v/>
      </c>
      <c r="D293" s="5"/>
      <c r="E293" s="37" t="s">
        <v>1140</v>
      </c>
      <c r="F293" s="39" t="s">
        <v>322</v>
      </c>
      <c r="G293" s="30" t="s">
        <v>223</v>
      </c>
      <c r="H293" s="30" t="s">
        <v>254</v>
      </c>
      <c r="I293" s="30" t="s">
        <v>218</v>
      </c>
      <c r="J293" s="30"/>
      <c r="K293" s="30" t="s">
        <v>144</v>
      </c>
      <c r="L293" s="30"/>
      <c r="M293" s="30"/>
      <c r="N293" s="30"/>
      <c r="O293" s="31"/>
      <c r="P293" s="32"/>
      <c r="Q293" s="5"/>
      <c r="R293" s="10"/>
    </row>
    <row r="294" spans="1:18" ht="39.5">
      <c r="A294" s="20" t="str">
        <f t="shared" ref="A294:A296" si="189">IF(J294="","RESP","")</f>
        <v>RESP</v>
      </c>
      <c r="B294" s="20" t="str">
        <f t="shared" ref="B294:B296" si="190">IF(M294="","INIT","")</f>
        <v>INIT</v>
      </c>
      <c r="C294" s="20" t="str">
        <f t="shared" ref="C294:C296" si="191">IF(AND(J294="NO",O294=""),"CMTS","")</f>
        <v/>
      </c>
      <c r="D294" s="5"/>
      <c r="E294" s="43" t="s">
        <v>979</v>
      </c>
      <c r="F294" s="42" t="s">
        <v>323</v>
      </c>
      <c r="G294" s="30" t="s">
        <v>223</v>
      </c>
      <c r="H294" s="30" t="s">
        <v>319</v>
      </c>
      <c r="I294" s="30" t="s">
        <v>225</v>
      </c>
      <c r="J294" s="30"/>
      <c r="K294" s="30" t="s">
        <v>144</v>
      </c>
      <c r="L294" s="30"/>
      <c r="M294" s="30"/>
      <c r="N294" s="30"/>
      <c r="O294" s="31"/>
      <c r="P294" s="32"/>
      <c r="Q294" s="5"/>
      <c r="R294" s="10"/>
    </row>
    <row r="295" spans="1:18" ht="52.5">
      <c r="A295" s="20" t="str">
        <f t="shared" si="189"/>
        <v>RESP</v>
      </c>
      <c r="B295" s="20" t="str">
        <f t="shared" si="190"/>
        <v>INIT</v>
      </c>
      <c r="C295" s="20" t="str">
        <f t="shared" si="191"/>
        <v/>
      </c>
      <c r="D295" s="5"/>
      <c r="E295" s="43" t="s">
        <v>980</v>
      </c>
      <c r="F295" s="42" t="s">
        <v>324</v>
      </c>
      <c r="G295" s="30" t="s">
        <v>223</v>
      </c>
      <c r="H295" s="30" t="s">
        <v>319</v>
      </c>
      <c r="I295" s="30" t="s">
        <v>225</v>
      </c>
      <c r="J295" s="30"/>
      <c r="K295" s="30" t="s">
        <v>144</v>
      </c>
      <c r="L295" s="30"/>
      <c r="M295" s="30"/>
      <c r="N295" s="30"/>
      <c r="O295" s="31"/>
      <c r="P295" s="32"/>
      <c r="Q295" s="5"/>
      <c r="R295" s="10"/>
    </row>
    <row r="296" spans="1:18" ht="26.5">
      <c r="A296" s="20" t="str">
        <f t="shared" si="189"/>
        <v>RESP</v>
      </c>
      <c r="B296" s="20" t="str">
        <f t="shared" si="190"/>
        <v>INIT</v>
      </c>
      <c r="C296" s="20" t="str">
        <f t="shared" si="191"/>
        <v/>
      </c>
      <c r="D296" s="5"/>
      <c r="E296" s="43" t="s">
        <v>981</v>
      </c>
      <c r="F296" s="42" t="s">
        <v>325</v>
      </c>
      <c r="G296" s="30" t="s">
        <v>223</v>
      </c>
      <c r="H296" s="30" t="s">
        <v>319</v>
      </c>
      <c r="I296" s="30" t="s">
        <v>225</v>
      </c>
      <c r="J296" s="30"/>
      <c r="K296" s="30" t="s">
        <v>144</v>
      </c>
      <c r="L296" s="30"/>
      <c r="M296" s="30"/>
      <c r="N296" s="30"/>
      <c r="O296" s="31"/>
      <c r="P296" s="32"/>
      <c r="Q296" s="5"/>
      <c r="R296" s="10"/>
    </row>
    <row r="297" spans="1:18">
      <c r="A297" s="4"/>
      <c r="B297" s="4"/>
      <c r="C297" s="4"/>
      <c r="D297" s="5"/>
      <c r="E297" s="49"/>
      <c r="F297" s="49"/>
      <c r="Q297" s="5"/>
      <c r="R297" s="8"/>
    </row>
    <row r="298" spans="1:18">
      <c r="A298" s="4"/>
      <c r="B298" s="4"/>
      <c r="C298" s="4"/>
      <c r="D298" s="5"/>
      <c r="E298" s="49"/>
      <c r="F298" s="49"/>
      <c r="Q298" s="5"/>
      <c r="R298" s="8"/>
    </row>
    <row r="299" spans="1:18" ht="27.5">
      <c r="A299" s="12" t="s">
        <v>210</v>
      </c>
      <c r="B299" s="13"/>
      <c r="C299" s="13"/>
      <c r="D299" s="2"/>
      <c r="E299" s="22" t="s">
        <v>862</v>
      </c>
      <c r="F299" s="23"/>
      <c r="G299" s="40" t="s">
        <v>214</v>
      </c>
      <c r="H299" s="40" t="s">
        <v>215</v>
      </c>
      <c r="I299" s="40" t="s">
        <v>219</v>
      </c>
      <c r="J299" s="40" t="s">
        <v>211</v>
      </c>
      <c r="K299" s="40" t="s">
        <v>216</v>
      </c>
      <c r="L299" s="40" t="s">
        <v>217</v>
      </c>
      <c r="M299" s="40" t="s">
        <v>220</v>
      </c>
      <c r="N299" s="40" t="s">
        <v>221</v>
      </c>
      <c r="O299" s="40" t="s">
        <v>208</v>
      </c>
      <c r="P299" s="41" t="s">
        <v>249</v>
      </c>
      <c r="Q299" s="2"/>
      <c r="R299" s="9" t="s">
        <v>213</v>
      </c>
    </row>
    <row r="300" spans="1:18">
      <c r="A300" s="20" t="str">
        <f t="shared" ref="A300:A302" si="192">IF(J300="","RESP","")</f>
        <v>RESP</v>
      </c>
      <c r="B300" s="20" t="str">
        <f t="shared" ref="B300:B302" si="193">IF(M300="","INIT","")</f>
        <v>INIT</v>
      </c>
      <c r="C300" s="20" t="str">
        <f t="shared" ref="C300:C302" si="194">IF(AND(J300="NO",O300=""),"CMTS","")</f>
        <v/>
      </c>
      <c r="D300" s="5"/>
      <c r="E300" s="28" t="s">
        <v>982</v>
      </c>
      <c r="F300" s="36" t="s">
        <v>858</v>
      </c>
      <c r="G300" s="30" t="s">
        <v>223</v>
      </c>
      <c r="H300" s="30" t="s">
        <v>861</v>
      </c>
      <c r="I300" s="30" t="s">
        <v>218</v>
      </c>
      <c r="J300" s="30"/>
      <c r="K300" s="30" t="s">
        <v>144</v>
      </c>
      <c r="L300" s="30"/>
      <c r="M300" s="30"/>
      <c r="N300" s="30"/>
      <c r="O300" s="31"/>
      <c r="P300" s="32"/>
      <c r="Q300" s="5"/>
      <c r="R300" s="10"/>
    </row>
    <row r="301" spans="1:18">
      <c r="A301" s="20" t="str">
        <f t="shared" si="192"/>
        <v>RESP</v>
      </c>
      <c r="B301" s="20" t="str">
        <f t="shared" si="193"/>
        <v>INIT</v>
      </c>
      <c r="C301" s="20" t="str">
        <f t="shared" si="194"/>
        <v/>
      </c>
      <c r="D301" s="5"/>
      <c r="E301" s="28" t="s">
        <v>983</v>
      </c>
      <c r="F301" s="36" t="s">
        <v>859</v>
      </c>
      <c r="G301" s="30" t="s">
        <v>223</v>
      </c>
      <c r="H301" s="30" t="s">
        <v>861</v>
      </c>
      <c r="I301" s="30" t="s">
        <v>218</v>
      </c>
      <c r="J301" s="30"/>
      <c r="K301" s="30" t="s">
        <v>144</v>
      </c>
      <c r="L301" s="30"/>
      <c r="M301" s="30"/>
      <c r="N301" s="30"/>
      <c r="O301" s="31"/>
      <c r="P301" s="32"/>
      <c r="Q301" s="5"/>
      <c r="R301" s="10"/>
    </row>
    <row r="302" spans="1:18">
      <c r="A302" s="20" t="str">
        <f t="shared" si="192"/>
        <v>RESP</v>
      </c>
      <c r="B302" s="20" t="str">
        <f t="shared" si="193"/>
        <v>INIT</v>
      </c>
      <c r="C302" s="20" t="str">
        <f t="shared" si="194"/>
        <v/>
      </c>
      <c r="D302" s="5"/>
      <c r="E302" s="28" t="s">
        <v>984</v>
      </c>
      <c r="F302" s="36" t="s">
        <v>860</v>
      </c>
      <c r="G302" s="30" t="s">
        <v>223</v>
      </c>
      <c r="H302" s="30" t="s">
        <v>861</v>
      </c>
      <c r="I302" s="30" t="s">
        <v>218</v>
      </c>
      <c r="J302" s="30"/>
      <c r="K302" s="30" t="s">
        <v>144</v>
      </c>
      <c r="L302" s="30"/>
      <c r="M302" s="30"/>
      <c r="N302" s="30"/>
      <c r="O302" s="31"/>
      <c r="P302" s="32"/>
      <c r="Q302" s="5"/>
      <c r="R302" s="10"/>
    </row>
    <row r="303" spans="1:18">
      <c r="A303" s="20" t="str">
        <f t="shared" ref="A303" si="195">IF(J303="","RESP","")</f>
        <v>RESP</v>
      </c>
      <c r="B303" s="20" t="str">
        <f t="shared" ref="B303" si="196">IF(M303="","INIT","")</f>
        <v>INIT</v>
      </c>
      <c r="C303" s="20" t="str">
        <f t="shared" ref="C303" si="197">IF(AND(J303="NO",O303=""),"CMTS","")</f>
        <v/>
      </c>
      <c r="D303" s="5"/>
      <c r="E303" s="28" t="s">
        <v>985</v>
      </c>
      <c r="F303" s="36" t="s">
        <v>872</v>
      </c>
      <c r="G303" s="30" t="s">
        <v>223</v>
      </c>
      <c r="H303" s="30" t="s">
        <v>861</v>
      </c>
      <c r="I303" s="30" t="s">
        <v>218</v>
      </c>
      <c r="J303" s="30"/>
      <c r="K303" s="30" t="s">
        <v>144</v>
      </c>
      <c r="L303" s="30"/>
      <c r="M303" s="30"/>
      <c r="N303" s="30"/>
      <c r="O303" s="31"/>
      <c r="P303" s="32"/>
      <c r="Q303" s="5"/>
      <c r="R303" s="10"/>
    </row>
    <row r="304" spans="1:18">
      <c r="A304" s="4"/>
      <c r="B304" s="4"/>
      <c r="C304" s="4"/>
      <c r="D304" s="5"/>
      <c r="E304" s="49"/>
      <c r="F304" s="49"/>
      <c r="Q304" s="5"/>
      <c r="R304" s="8"/>
    </row>
    <row r="305" spans="1:18">
      <c r="A305" s="4"/>
      <c r="B305" s="4"/>
      <c r="C305" s="4"/>
      <c r="D305" s="5"/>
      <c r="E305" s="49"/>
      <c r="F305" s="49"/>
      <c r="Q305" s="5"/>
      <c r="R305" s="8"/>
    </row>
    <row r="306" spans="1:18" ht="27.5">
      <c r="A306" s="12" t="s">
        <v>210</v>
      </c>
      <c r="B306" s="13"/>
      <c r="C306" s="13"/>
      <c r="D306" s="2"/>
      <c r="E306" s="22" t="s">
        <v>1100</v>
      </c>
      <c r="F306" s="23"/>
      <c r="G306" s="40" t="s">
        <v>214</v>
      </c>
      <c r="H306" s="40" t="s">
        <v>215</v>
      </c>
      <c r="I306" s="40" t="s">
        <v>219</v>
      </c>
      <c r="J306" s="40" t="s">
        <v>211</v>
      </c>
      <c r="K306" s="40" t="s">
        <v>216</v>
      </c>
      <c r="L306" s="40" t="s">
        <v>217</v>
      </c>
      <c r="M306" s="40" t="s">
        <v>220</v>
      </c>
      <c r="N306" s="40" t="s">
        <v>221</v>
      </c>
      <c r="O306" s="40" t="s">
        <v>208</v>
      </c>
      <c r="P306" s="41" t="s">
        <v>249</v>
      </c>
      <c r="Q306" s="2"/>
      <c r="R306" s="9" t="s">
        <v>213</v>
      </c>
    </row>
    <row r="307" spans="1:18">
      <c r="A307" s="20" t="str">
        <f t="shared" ref="A307:A308" si="198">IF(J307="","RESP","")</f>
        <v>RESP</v>
      </c>
      <c r="B307" s="20" t="str">
        <f t="shared" ref="B307:B308" si="199">IF(M307="","INIT","")</f>
        <v>INIT</v>
      </c>
      <c r="C307" s="20" t="str">
        <f t="shared" ref="C307:C308" si="200">IF(AND(J307="NO",O307=""),"CMTS","")</f>
        <v/>
      </c>
      <c r="D307" s="5"/>
      <c r="E307" s="28" t="s">
        <v>1101</v>
      </c>
      <c r="F307" s="36" t="s">
        <v>1103</v>
      </c>
      <c r="G307" s="30" t="s">
        <v>223</v>
      </c>
      <c r="H307" s="30" t="s">
        <v>861</v>
      </c>
      <c r="I307" s="30" t="s">
        <v>218</v>
      </c>
      <c r="J307" s="30"/>
      <c r="K307" s="30" t="s">
        <v>144</v>
      </c>
      <c r="L307" s="30"/>
      <c r="M307" s="30"/>
      <c r="N307" s="30"/>
      <c r="O307" s="31"/>
      <c r="P307" s="32"/>
      <c r="Q307" s="5"/>
      <c r="R307" s="10"/>
    </row>
    <row r="308" spans="1:18">
      <c r="A308" s="20" t="str">
        <f t="shared" si="198"/>
        <v>RESP</v>
      </c>
      <c r="B308" s="20" t="str">
        <f t="shared" si="199"/>
        <v>INIT</v>
      </c>
      <c r="C308" s="20" t="str">
        <f t="shared" si="200"/>
        <v/>
      </c>
      <c r="D308" s="5"/>
      <c r="E308" s="28" t="s">
        <v>1102</v>
      </c>
      <c r="F308" s="36" t="s">
        <v>1107</v>
      </c>
      <c r="G308" s="30" t="s">
        <v>223</v>
      </c>
      <c r="H308" s="30" t="s">
        <v>861</v>
      </c>
      <c r="I308" s="30" t="s">
        <v>218</v>
      </c>
      <c r="J308" s="30"/>
      <c r="K308" s="30" t="s">
        <v>144</v>
      </c>
      <c r="L308" s="30"/>
      <c r="M308" s="30"/>
      <c r="N308" s="30"/>
      <c r="O308" s="31"/>
      <c r="P308" s="32"/>
      <c r="Q308" s="5"/>
      <c r="R308" s="10"/>
    </row>
    <row r="309" spans="1:18">
      <c r="A309" s="20" t="str">
        <f t="shared" ref="A309:A311" si="201">IF(J309="","RESP","")</f>
        <v>RESP</v>
      </c>
      <c r="B309" s="20" t="str">
        <f t="shared" ref="B309:B311" si="202">IF(M309="","INIT","")</f>
        <v>INIT</v>
      </c>
      <c r="C309" s="20" t="str">
        <f t="shared" ref="C309:C311" si="203">IF(AND(J309="NO",O309=""),"CMTS","")</f>
        <v/>
      </c>
      <c r="D309" s="5"/>
      <c r="E309" s="28" t="s">
        <v>1101</v>
      </c>
      <c r="F309" s="36" t="s">
        <v>1108</v>
      </c>
      <c r="G309" s="30" t="s">
        <v>223</v>
      </c>
      <c r="H309" s="30" t="s">
        <v>861</v>
      </c>
      <c r="I309" s="30" t="s">
        <v>218</v>
      </c>
      <c r="J309" s="30"/>
      <c r="K309" s="30" t="s">
        <v>144</v>
      </c>
      <c r="L309" s="30"/>
      <c r="M309" s="30"/>
      <c r="N309" s="30"/>
      <c r="O309" s="31"/>
      <c r="P309" s="32"/>
      <c r="Q309" s="5"/>
      <c r="R309" s="10"/>
    </row>
    <row r="310" spans="1:18">
      <c r="A310" s="20" t="str">
        <f t="shared" si="201"/>
        <v>RESP</v>
      </c>
      <c r="B310" s="20" t="str">
        <f t="shared" si="202"/>
        <v>INIT</v>
      </c>
      <c r="C310" s="20" t="str">
        <f t="shared" si="203"/>
        <v/>
      </c>
      <c r="D310" s="5"/>
      <c r="E310" s="28" t="s">
        <v>1101</v>
      </c>
      <c r="F310" s="36" t="s">
        <v>1109</v>
      </c>
      <c r="G310" s="30" t="s">
        <v>223</v>
      </c>
      <c r="H310" s="30" t="s">
        <v>861</v>
      </c>
      <c r="I310" s="30" t="s">
        <v>218</v>
      </c>
      <c r="J310" s="30"/>
      <c r="K310" s="30" t="s">
        <v>144</v>
      </c>
      <c r="L310" s="30"/>
      <c r="M310" s="30"/>
      <c r="N310" s="30"/>
      <c r="O310" s="31"/>
      <c r="P310" s="32"/>
      <c r="Q310" s="5"/>
      <c r="R310" s="10"/>
    </row>
    <row r="311" spans="1:18">
      <c r="A311" s="20" t="str">
        <f t="shared" si="201"/>
        <v>RESP</v>
      </c>
      <c r="B311" s="20" t="str">
        <f t="shared" si="202"/>
        <v>INIT</v>
      </c>
      <c r="C311" s="20" t="str">
        <f t="shared" si="203"/>
        <v/>
      </c>
      <c r="D311" s="5"/>
      <c r="E311" s="28" t="s">
        <v>1102</v>
      </c>
      <c r="F311" s="36" t="s">
        <v>1110</v>
      </c>
      <c r="G311" s="30" t="s">
        <v>223</v>
      </c>
      <c r="H311" s="30" t="s">
        <v>861</v>
      </c>
      <c r="I311" s="30" t="s">
        <v>218</v>
      </c>
      <c r="J311" s="30"/>
      <c r="K311" s="30" t="s">
        <v>144</v>
      </c>
      <c r="L311" s="30"/>
      <c r="M311" s="30"/>
      <c r="N311" s="30"/>
      <c r="O311" s="31"/>
      <c r="P311" s="32"/>
      <c r="Q311" s="5"/>
      <c r="R311" s="10"/>
    </row>
    <row r="312" spans="1:18">
      <c r="A312" s="4"/>
      <c r="B312" s="4"/>
      <c r="C312" s="4"/>
      <c r="D312" s="5"/>
      <c r="E312" s="49"/>
      <c r="F312" s="49"/>
      <c r="Q312" s="5"/>
      <c r="R312" s="8"/>
    </row>
    <row r="313" spans="1:18">
      <c r="A313" s="4"/>
      <c r="B313" s="4"/>
      <c r="C313" s="4"/>
      <c r="D313" s="5"/>
      <c r="E313" s="49"/>
      <c r="F313" s="49"/>
      <c r="Q313" s="5"/>
      <c r="R313" s="8"/>
    </row>
    <row r="314" spans="1:18" ht="27.5">
      <c r="A314" s="12" t="s">
        <v>210</v>
      </c>
      <c r="B314" s="13"/>
      <c r="C314" s="13"/>
      <c r="D314" s="2"/>
      <c r="E314" s="22" t="s">
        <v>783</v>
      </c>
      <c r="F314" s="23"/>
      <c r="G314" s="40" t="s">
        <v>214</v>
      </c>
      <c r="H314" s="40" t="s">
        <v>215</v>
      </c>
      <c r="I314" s="40" t="s">
        <v>219</v>
      </c>
      <c r="J314" s="40" t="s">
        <v>211</v>
      </c>
      <c r="K314" s="40" t="s">
        <v>216</v>
      </c>
      <c r="L314" s="40" t="s">
        <v>217</v>
      </c>
      <c r="M314" s="40" t="s">
        <v>220</v>
      </c>
      <c r="N314" s="40" t="s">
        <v>221</v>
      </c>
      <c r="O314" s="40" t="s">
        <v>208</v>
      </c>
      <c r="P314" s="41" t="s">
        <v>249</v>
      </c>
      <c r="Q314" s="2"/>
      <c r="R314" s="9" t="s">
        <v>213</v>
      </c>
    </row>
    <row r="315" spans="1:18">
      <c r="A315" s="20" t="str">
        <f t="shared" ref="A315:A316" si="204">IF(J315="","RESP","")</f>
        <v>RESP</v>
      </c>
      <c r="B315" s="20" t="str">
        <f t="shared" ref="B315:B316" si="205">IF(M315="","INIT","")</f>
        <v>INIT</v>
      </c>
      <c r="C315" s="20" t="str">
        <f t="shared" ref="C315:C316" si="206">IF(AND(J315="NO",O315=""),"CMTS","")</f>
        <v/>
      </c>
      <c r="D315" s="2"/>
      <c r="E315" s="28" t="s">
        <v>414</v>
      </c>
      <c r="F315" s="33" t="s">
        <v>1115</v>
      </c>
      <c r="G315" s="30" t="s">
        <v>223</v>
      </c>
      <c r="H315" s="30" t="s">
        <v>218</v>
      </c>
      <c r="I315" s="30" t="s">
        <v>218</v>
      </c>
      <c r="J315" s="30"/>
      <c r="K315" s="30" t="s">
        <v>144</v>
      </c>
      <c r="L315" s="30"/>
      <c r="M315" s="30"/>
      <c r="N315" s="30"/>
      <c r="O315" s="31"/>
      <c r="P315" s="32"/>
      <c r="Q315" s="5"/>
      <c r="R315" s="10"/>
    </row>
    <row r="316" spans="1:18">
      <c r="A316" s="20" t="str">
        <f t="shared" si="204"/>
        <v>RESP</v>
      </c>
      <c r="B316" s="20" t="str">
        <f t="shared" si="205"/>
        <v>INIT</v>
      </c>
      <c r="C316" s="20" t="str">
        <f t="shared" si="206"/>
        <v/>
      </c>
      <c r="D316" s="5"/>
      <c r="E316" s="28" t="s">
        <v>415</v>
      </c>
      <c r="F316" s="33" t="s">
        <v>1119</v>
      </c>
      <c r="G316" s="30" t="s">
        <v>223</v>
      </c>
      <c r="H316" s="30" t="s">
        <v>218</v>
      </c>
      <c r="I316" s="30" t="s">
        <v>218</v>
      </c>
      <c r="J316" s="30"/>
      <c r="K316" s="30" t="s">
        <v>194</v>
      </c>
      <c r="L316" s="30"/>
      <c r="M316" s="30"/>
      <c r="N316" s="30"/>
      <c r="O316" s="31"/>
      <c r="P316" s="32"/>
      <c r="Q316" s="5"/>
      <c r="R316" s="10"/>
    </row>
    <row r="317" spans="1:18">
      <c r="A317" s="20" t="str">
        <f t="shared" ref="A317:A318" si="207">IF(J317="","RESP","")</f>
        <v>RESP</v>
      </c>
      <c r="B317" s="20" t="str">
        <f t="shared" ref="B317:B318" si="208">IF(M317="","INIT","")</f>
        <v>INIT</v>
      </c>
      <c r="C317" s="20" t="str">
        <f t="shared" ref="C317:C318" si="209">IF(AND(J317="NO",O317=""),"CMTS","")</f>
        <v/>
      </c>
      <c r="D317" s="2"/>
      <c r="E317" s="28" t="s">
        <v>416</v>
      </c>
      <c r="F317" s="33" t="s">
        <v>1111</v>
      </c>
      <c r="G317" s="30" t="s">
        <v>223</v>
      </c>
      <c r="H317" s="30" t="s">
        <v>218</v>
      </c>
      <c r="I317" s="30" t="s">
        <v>218</v>
      </c>
      <c r="J317" s="30"/>
      <c r="K317" s="30" t="s">
        <v>144</v>
      </c>
      <c r="L317" s="30"/>
      <c r="M317" s="30"/>
      <c r="N317" s="30"/>
      <c r="O317" s="31"/>
      <c r="P317" s="32"/>
      <c r="Q317" s="5"/>
      <c r="R317" s="10"/>
    </row>
    <row r="318" spans="1:18">
      <c r="A318" s="20" t="str">
        <f t="shared" si="207"/>
        <v>RESP</v>
      </c>
      <c r="B318" s="20" t="str">
        <f t="shared" si="208"/>
        <v>INIT</v>
      </c>
      <c r="C318" s="20" t="str">
        <f t="shared" si="209"/>
        <v/>
      </c>
      <c r="D318" s="5"/>
      <c r="E318" s="28" t="s">
        <v>417</v>
      </c>
      <c r="F318" s="33" t="s">
        <v>752</v>
      </c>
      <c r="G318" s="30" t="s">
        <v>223</v>
      </c>
      <c r="H318" s="30" t="s">
        <v>218</v>
      </c>
      <c r="I318" s="30" t="s">
        <v>218</v>
      </c>
      <c r="J318" s="30"/>
      <c r="K318" s="30" t="s">
        <v>194</v>
      </c>
      <c r="L318" s="30"/>
      <c r="M318" s="30"/>
      <c r="N318" s="30"/>
      <c r="O318" s="31"/>
      <c r="P318" s="32"/>
      <c r="Q318" s="5"/>
      <c r="R318" s="10"/>
    </row>
    <row r="319" spans="1:18">
      <c r="A319" s="20" t="str">
        <f t="shared" ref="A319:A340" si="210">IF(J319="","RESP","")</f>
        <v>RESP</v>
      </c>
      <c r="B319" s="20" t="str">
        <f t="shared" ref="B319:B340" si="211">IF(M319="","INIT","")</f>
        <v>INIT</v>
      </c>
      <c r="C319" s="20" t="str">
        <f t="shared" ref="C319:C340" si="212">IF(AND(J319="NO",O319=""),"CMTS","")</f>
        <v/>
      </c>
      <c r="D319" s="5"/>
      <c r="E319" s="28" t="s">
        <v>418</v>
      </c>
      <c r="F319" s="36" t="s">
        <v>751</v>
      </c>
      <c r="G319" s="30" t="s">
        <v>223</v>
      </c>
      <c r="H319" s="30" t="s">
        <v>218</v>
      </c>
      <c r="I319" s="30" t="s">
        <v>218</v>
      </c>
      <c r="J319" s="30"/>
      <c r="K319" s="30" t="s">
        <v>144</v>
      </c>
      <c r="L319" s="30"/>
      <c r="M319" s="30"/>
      <c r="N319" s="30"/>
      <c r="O319" s="31"/>
      <c r="P319" s="32"/>
      <c r="Q319" s="5"/>
      <c r="R319" s="10"/>
    </row>
    <row r="320" spans="1:18">
      <c r="A320" s="20" t="str">
        <f t="shared" si="210"/>
        <v>RESP</v>
      </c>
      <c r="B320" s="20" t="str">
        <f t="shared" si="211"/>
        <v>INIT</v>
      </c>
      <c r="C320" s="20" t="str">
        <f t="shared" si="212"/>
        <v/>
      </c>
      <c r="D320" s="5"/>
      <c r="E320" s="28" t="s">
        <v>419</v>
      </c>
      <c r="F320" s="36" t="s">
        <v>81</v>
      </c>
      <c r="G320" s="30" t="s">
        <v>223</v>
      </c>
      <c r="H320" s="30" t="s">
        <v>218</v>
      </c>
      <c r="I320" s="30" t="s">
        <v>218</v>
      </c>
      <c r="J320" s="30"/>
      <c r="K320" s="30" t="s">
        <v>144</v>
      </c>
      <c r="L320" s="30"/>
      <c r="M320" s="30"/>
      <c r="N320" s="30"/>
      <c r="O320" s="31"/>
      <c r="P320" s="32"/>
      <c r="Q320" s="5"/>
      <c r="R320" s="10"/>
    </row>
    <row r="321" spans="1:18">
      <c r="A321" s="20" t="str">
        <f t="shared" si="210"/>
        <v>RESP</v>
      </c>
      <c r="B321" s="20" t="str">
        <f t="shared" si="211"/>
        <v>INIT</v>
      </c>
      <c r="C321" s="20" t="str">
        <f t="shared" si="212"/>
        <v/>
      </c>
      <c r="D321" s="5"/>
      <c r="E321" s="28" t="s">
        <v>735</v>
      </c>
      <c r="F321" s="36" t="s">
        <v>82</v>
      </c>
      <c r="G321" s="30" t="s">
        <v>223</v>
      </c>
      <c r="H321" s="30" t="s">
        <v>218</v>
      </c>
      <c r="I321" s="30" t="s">
        <v>218</v>
      </c>
      <c r="J321" s="30"/>
      <c r="K321" s="30" t="s">
        <v>144</v>
      </c>
      <c r="L321" s="30"/>
      <c r="M321" s="30"/>
      <c r="N321" s="30"/>
      <c r="O321" s="31"/>
      <c r="P321" s="32"/>
      <c r="Q321" s="5"/>
      <c r="R321" s="10"/>
    </row>
    <row r="322" spans="1:18">
      <c r="A322" s="20" t="str">
        <f t="shared" si="210"/>
        <v>RESP</v>
      </c>
      <c r="B322" s="20" t="str">
        <f t="shared" si="211"/>
        <v>INIT</v>
      </c>
      <c r="C322" s="20" t="str">
        <f t="shared" si="212"/>
        <v/>
      </c>
      <c r="D322" s="5"/>
      <c r="E322" s="28" t="s">
        <v>736</v>
      </c>
      <c r="F322" s="36" t="s">
        <v>274</v>
      </c>
      <c r="G322" s="30" t="s">
        <v>223</v>
      </c>
      <c r="H322" s="30" t="s">
        <v>218</v>
      </c>
      <c r="I322" s="30" t="s">
        <v>218</v>
      </c>
      <c r="J322" s="30"/>
      <c r="K322" s="30" t="s">
        <v>194</v>
      </c>
      <c r="L322" s="30"/>
      <c r="M322" s="30"/>
      <c r="N322" s="30"/>
      <c r="O322" s="31"/>
      <c r="P322" s="32"/>
      <c r="Q322" s="5"/>
      <c r="R322" s="10"/>
    </row>
    <row r="323" spans="1:18">
      <c r="A323" s="20" t="str">
        <f t="shared" si="210"/>
        <v>RESP</v>
      </c>
      <c r="B323" s="20" t="str">
        <f t="shared" si="211"/>
        <v>INIT</v>
      </c>
      <c r="C323" s="20" t="str">
        <f t="shared" si="212"/>
        <v/>
      </c>
      <c r="D323" s="5"/>
      <c r="E323" s="28" t="s">
        <v>737</v>
      </c>
      <c r="F323" s="36" t="s">
        <v>83</v>
      </c>
      <c r="G323" s="30" t="s">
        <v>223</v>
      </c>
      <c r="H323" s="30" t="s">
        <v>218</v>
      </c>
      <c r="I323" s="30" t="s">
        <v>218</v>
      </c>
      <c r="J323" s="30"/>
      <c r="K323" s="30" t="s">
        <v>144</v>
      </c>
      <c r="L323" s="30"/>
      <c r="M323" s="30"/>
      <c r="N323" s="30"/>
      <c r="O323" s="31"/>
      <c r="P323" s="32"/>
      <c r="Q323" s="5"/>
      <c r="R323" s="10"/>
    </row>
    <row r="324" spans="1:18" ht="28.5" customHeight="1">
      <c r="A324" s="20" t="str">
        <f t="shared" si="210"/>
        <v>RESP</v>
      </c>
      <c r="B324" s="20" t="str">
        <f t="shared" si="211"/>
        <v>INIT</v>
      </c>
      <c r="C324" s="20" t="str">
        <f t="shared" si="212"/>
        <v/>
      </c>
      <c r="D324" s="5"/>
      <c r="E324" s="28" t="s">
        <v>738</v>
      </c>
      <c r="F324" s="36" t="s">
        <v>753</v>
      </c>
      <c r="G324" s="30" t="s">
        <v>223</v>
      </c>
      <c r="H324" s="30" t="s">
        <v>218</v>
      </c>
      <c r="I324" s="30" t="s">
        <v>218</v>
      </c>
      <c r="J324" s="30"/>
      <c r="K324" s="30" t="s">
        <v>144</v>
      </c>
      <c r="L324" s="30"/>
      <c r="M324" s="30"/>
      <c r="N324" s="30"/>
      <c r="O324" s="31"/>
      <c r="P324" s="32"/>
      <c r="Q324" s="5"/>
      <c r="R324" s="10"/>
    </row>
    <row r="325" spans="1:18">
      <c r="A325" s="20" t="str">
        <f t="shared" si="210"/>
        <v>RESP</v>
      </c>
      <c r="B325" s="20" t="str">
        <f t="shared" si="211"/>
        <v>INIT</v>
      </c>
      <c r="C325" s="20" t="str">
        <f t="shared" si="212"/>
        <v/>
      </c>
      <c r="D325" s="5"/>
      <c r="E325" s="28" t="s">
        <v>784</v>
      </c>
      <c r="F325" s="36" t="s">
        <v>276</v>
      </c>
      <c r="G325" s="30" t="s">
        <v>223</v>
      </c>
      <c r="H325" s="30" t="s">
        <v>218</v>
      </c>
      <c r="I325" s="30" t="s">
        <v>218</v>
      </c>
      <c r="J325" s="30"/>
      <c r="K325" s="30" t="s">
        <v>194</v>
      </c>
      <c r="L325" s="30"/>
      <c r="M325" s="30"/>
      <c r="N325" s="30"/>
      <c r="O325" s="31"/>
      <c r="P325" s="32"/>
      <c r="Q325" s="5"/>
      <c r="R325" s="10"/>
    </row>
    <row r="326" spans="1:18">
      <c r="A326" s="20" t="str">
        <f t="shared" si="210"/>
        <v>RESP</v>
      </c>
      <c r="B326" s="20" t="str">
        <f t="shared" si="211"/>
        <v>INIT</v>
      </c>
      <c r="C326" s="20" t="str">
        <f t="shared" si="212"/>
        <v/>
      </c>
      <c r="D326" s="5"/>
      <c r="E326" s="28" t="s">
        <v>785</v>
      </c>
      <c r="F326" s="36" t="s">
        <v>275</v>
      </c>
      <c r="G326" s="30" t="s">
        <v>223</v>
      </c>
      <c r="H326" s="30" t="s">
        <v>218</v>
      </c>
      <c r="I326" s="30" t="s">
        <v>218</v>
      </c>
      <c r="J326" s="30"/>
      <c r="K326" s="30" t="s">
        <v>144</v>
      </c>
      <c r="L326" s="30"/>
      <c r="M326" s="30"/>
      <c r="N326" s="30"/>
      <c r="O326" s="31"/>
      <c r="P326" s="32"/>
      <c r="Q326" s="5"/>
      <c r="R326" s="10"/>
    </row>
    <row r="327" spans="1:18" ht="26.5">
      <c r="A327" s="20" t="str">
        <f t="shared" si="210"/>
        <v>RESP</v>
      </c>
      <c r="B327" s="20" t="str">
        <f t="shared" si="211"/>
        <v>INIT</v>
      </c>
      <c r="C327" s="20" t="str">
        <f t="shared" si="212"/>
        <v/>
      </c>
      <c r="D327" s="5"/>
      <c r="E327" s="28" t="s">
        <v>786</v>
      </c>
      <c r="F327" s="36" t="s">
        <v>204</v>
      </c>
      <c r="G327" s="30" t="s">
        <v>223</v>
      </c>
      <c r="H327" s="30" t="s">
        <v>218</v>
      </c>
      <c r="I327" s="30" t="s">
        <v>218</v>
      </c>
      <c r="J327" s="30"/>
      <c r="K327" s="30" t="s">
        <v>194</v>
      </c>
      <c r="L327" s="30"/>
      <c r="M327" s="30"/>
      <c r="N327" s="30"/>
      <c r="O327" s="31"/>
      <c r="P327" s="32"/>
      <c r="Q327" s="5"/>
      <c r="R327" s="10"/>
    </row>
    <row r="328" spans="1:18">
      <c r="A328" s="20" t="str">
        <f t="shared" si="210"/>
        <v>RESP</v>
      </c>
      <c r="B328" s="20" t="str">
        <f t="shared" si="211"/>
        <v>INIT</v>
      </c>
      <c r="C328" s="20" t="str">
        <f t="shared" si="212"/>
        <v/>
      </c>
      <c r="D328" s="5"/>
      <c r="E328" s="28" t="s">
        <v>787</v>
      </c>
      <c r="F328" s="36" t="s">
        <v>277</v>
      </c>
      <c r="G328" s="30" t="s">
        <v>223</v>
      </c>
      <c r="H328" s="30" t="s">
        <v>218</v>
      </c>
      <c r="I328" s="30" t="s">
        <v>218</v>
      </c>
      <c r="J328" s="30"/>
      <c r="K328" s="30" t="s">
        <v>194</v>
      </c>
      <c r="L328" s="30"/>
      <c r="M328" s="30"/>
      <c r="N328" s="30"/>
      <c r="O328" s="31"/>
      <c r="P328" s="32"/>
      <c r="Q328" s="5"/>
      <c r="R328" s="10"/>
    </row>
    <row r="329" spans="1:18">
      <c r="A329" s="20" t="str">
        <f t="shared" si="210"/>
        <v>RESP</v>
      </c>
      <c r="B329" s="20" t="str">
        <f t="shared" si="211"/>
        <v>INIT</v>
      </c>
      <c r="C329" s="20" t="str">
        <f t="shared" si="212"/>
        <v/>
      </c>
      <c r="D329" s="5"/>
      <c r="E329" s="28" t="s">
        <v>788</v>
      </c>
      <c r="F329" s="33" t="s">
        <v>581</v>
      </c>
      <c r="G329" s="30" t="s">
        <v>223</v>
      </c>
      <c r="H329" s="30" t="s">
        <v>218</v>
      </c>
      <c r="I329" s="30" t="s">
        <v>218</v>
      </c>
      <c r="J329" s="30"/>
      <c r="K329" s="30" t="s">
        <v>144</v>
      </c>
      <c r="L329" s="30"/>
      <c r="M329" s="30"/>
      <c r="N329" s="30"/>
      <c r="O329" s="31"/>
      <c r="P329" s="32"/>
      <c r="Q329" s="5"/>
      <c r="R329" s="10"/>
    </row>
    <row r="330" spans="1:18">
      <c r="A330" s="20" t="str">
        <f t="shared" si="210"/>
        <v>RESP</v>
      </c>
      <c r="B330" s="20" t="str">
        <f t="shared" si="211"/>
        <v>INIT</v>
      </c>
      <c r="C330" s="20" t="str">
        <f t="shared" si="212"/>
        <v/>
      </c>
      <c r="D330" s="5"/>
      <c r="E330" s="28" t="s">
        <v>789</v>
      </c>
      <c r="F330" s="33" t="s">
        <v>582</v>
      </c>
      <c r="G330" s="30" t="s">
        <v>223</v>
      </c>
      <c r="H330" s="30" t="s">
        <v>218</v>
      </c>
      <c r="I330" s="30" t="s">
        <v>218</v>
      </c>
      <c r="J330" s="30"/>
      <c r="K330" s="30" t="s">
        <v>144</v>
      </c>
      <c r="L330" s="30"/>
      <c r="M330" s="30"/>
      <c r="N330" s="30"/>
      <c r="O330" s="31"/>
      <c r="P330" s="32"/>
      <c r="Q330" s="5"/>
      <c r="R330" s="10"/>
    </row>
    <row r="331" spans="1:18">
      <c r="A331" s="20" t="str">
        <f t="shared" si="210"/>
        <v>RESP</v>
      </c>
      <c r="B331" s="20" t="str">
        <f t="shared" si="211"/>
        <v>INIT</v>
      </c>
      <c r="C331" s="20" t="str">
        <f t="shared" si="212"/>
        <v/>
      </c>
      <c r="D331" s="5"/>
      <c r="E331" s="28" t="s">
        <v>790</v>
      </c>
      <c r="F331" s="33" t="s">
        <v>1112</v>
      </c>
      <c r="G331" s="30" t="s">
        <v>223</v>
      </c>
      <c r="H331" s="30" t="s">
        <v>218</v>
      </c>
      <c r="I331" s="30" t="s">
        <v>218</v>
      </c>
      <c r="J331" s="30"/>
      <c r="K331" s="30" t="s">
        <v>194</v>
      </c>
      <c r="L331" s="30"/>
      <c r="M331" s="30"/>
      <c r="N331" s="30"/>
      <c r="O331" s="31"/>
      <c r="P331" s="32"/>
      <c r="Q331" s="5"/>
      <c r="R331" s="10"/>
    </row>
    <row r="332" spans="1:18">
      <c r="A332" s="20" t="str">
        <f t="shared" si="210"/>
        <v>RESP</v>
      </c>
      <c r="B332" s="20" t="str">
        <f t="shared" si="211"/>
        <v>INIT</v>
      </c>
      <c r="C332" s="20" t="str">
        <f t="shared" si="212"/>
        <v/>
      </c>
      <c r="D332" s="5"/>
      <c r="E332" s="28" t="s">
        <v>791</v>
      </c>
      <c r="F332" s="33" t="s">
        <v>579</v>
      </c>
      <c r="G332" s="30" t="s">
        <v>223</v>
      </c>
      <c r="H332" s="30" t="s">
        <v>218</v>
      </c>
      <c r="I332" s="30" t="s">
        <v>218</v>
      </c>
      <c r="J332" s="30"/>
      <c r="K332" s="30" t="s">
        <v>194</v>
      </c>
      <c r="L332" s="30"/>
      <c r="M332" s="30"/>
      <c r="N332" s="30"/>
      <c r="O332" s="31"/>
      <c r="P332" s="32"/>
      <c r="Q332" s="5"/>
      <c r="R332" s="10"/>
    </row>
    <row r="333" spans="1:18">
      <c r="A333" s="20" t="str">
        <f t="shared" si="210"/>
        <v>RESP</v>
      </c>
      <c r="B333" s="20" t="str">
        <f t="shared" si="211"/>
        <v>INIT</v>
      </c>
      <c r="C333" s="20" t="str">
        <f t="shared" si="212"/>
        <v/>
      </c>
      <c r="D333" s="5"/>
      <c r="E333" s="28" t="s">
        <v>792</v>
      </c>
      <c r="F333" s="36" t="s">
        <v>278</v>
      </c>
      <c r="G333" s="30" t="s">
        <v>223</v>
      </c>
      <c r="H333" s="30" t="s">
        <v>218</v>
      </c>
      <c r="I333" s="30" t="s">
        <v>218</v>
      </c>
      <c r="J333" s="30"/>
      <c r="K333" s="30" t="s">
        <v>194</v>
      </c>
      <c r="L333" s="30"/>
      <c r="M333" s="30"/>
      <c r="N333" s="30"/>
      <c r="O333" s="31"/>
      <c r="P333" s="32"/>
      <c r="Q333" s="5"/>
      <c r="R333" s="10"/>
    </row>
    <row r="334" spans="1:18">
      <c r="A334" s="20" t="str">
        <f t="shared" si="210"/>
        <v>RESP</v>
      </c>
      <c r="B334" s="20" t="str">
        <f t="shared" si="211"/>
        <v>INIT</v>
      </c>
      <c r="C334" s="20" t="str">
        <f t="shared" si="212"/>
        <v/>
      </c>
      <c r="D334" s="5"/>
      <c r="E334" s="28" t="s">
        <v>793</v>
      </c>
      <c r="F334" s="36" t="s">
        <v>281</v>
      </c>
      <c r="G334" s="30" t="s">
        <v>223</v>
      </c>
      <c r="H334" s="30" t="s">
        <v>218</v>
      </c>
      <c r="I334" s="30" t="s">
        <v>218</v>
      </c>
      <c r="J334" s="30"/>
      <c r="K334" s="30" t="s">
        <v>144</v>
      </c>
      <c r="L334" s="30"/>
      <c r="M334" s="30"/>
      <c r="N334" s="30"/>
      <c r="O334" s="31"/>
      <c r="P334" s="32"/>
      <c r="Q334" s="5"/>
      <c r="R334" s="10"/>
    </row>
    <row r="335" spans="1:18">
      <c r="A335" s="20" t="str">
        <f t="shared" si="210"/>
        <v>RESP</v>
      </c>
      <c r="B335" s="20" t="str">
        <f t="shared" si="211"/>
        <v>INIT</v>
      </c>
      <c r="C335" s="20" t="str">
        <f t="shared" si="212"/>
        <v/>
      </c>
      <c r="D335" s="5"/>
      <c r="E335" s="28" t="s">
        <v>794</v>
      </c>
      <c r="F335" s="36" t="s">
        <v>280</v>
      </c>
      <c r="G335" s="30" t="s">
        <v>223</v>
      </c>
      <c r="H335" s="30" t="s">
        <v>218</v>
      </c>
      <c r="I335" s="30" t="s">
        <v>218</v>
      </c>
      <c r="J335" s="30"/>
      <c r="K335" s="30" t="s">
        <v>144</v>
      </c>
      <c r="L335" s="30"/>
      <c r="M335" s="30"/>
      <c r="N335" s="30"/>
      <c r="O335" s="31"/>
      <c r="P335" s="32"/>
      <c r="Q335" s="5"/>
      <c r="R335" s="10"/>
    </row>
    <row r="336" spans="1:18">
      <c r="A336" s="20" t="str">
        <f t="shared" si="210"/>
        <v>RESP</v>
      </c>
      <c r="B336" s="20" t="str">
        <f t="shared" si="211"/>
        <v>INIT</v>
      </c>
      <c r="C336" s="20" t="str">
        <f t="shared" si="212"/>
        <v/>
      </c>
      <c r="D336" s="5"/>
      <c r="E336" s="28" t="s">
        <v>795</v>
      </c>
      <c r="F336" s="36" t="s">
        <v>279</v>
      </c>
      <c r="G336" s="30" t="s">
        <v>223</v>
      </c>
      <c r="H336" s="30" t="s">
        <v>218</v>
      </c>
      <c r="I336" s="30" t="s">
        <v>218</v>
      </c>
      <c r="J336" s="30"/>
      <c r="K336" s="30" t="s">
        <v>194</v>
      </c>
      <c r="L336" s="30"/>
      <c r="M336" s="30"/>
      <c r="N336" s="30"/>
      <c r="O336" s="31"/>
      <c r="P336" s="32"/>
      <c r="Q336" s="5"/>
      <c r="R336" s="10"/>
    </row>
    <row r="337" spans="1:18">
      <c r="A337" s="20" t="str">
        <f t="shared" si="210"/>
        <v>RESP</v>
      </c>
      <c r="B337" s="20" t="str">
        <f t="shared" si="211"/>
        <v>INIT</v>
      </c>
      <c r="C337" s="20" t="str">
        <f t="shared" si="212"/>
        <v/>
      </c>
      <c r="D337" s="5"/>
      <c r="E337" s="28" t="s">
        <v>796</v>
      </c>
      <c r="F337" s="36" t="s">
        <v>85</v>
      </c>
      <c r="G337" s="30" t="s">
        <v>223</v>
      </c>
      <c r="H337" s="30" t="s">
        <v>218</v>
      </c>
      <c r="I337" s="30" t="s">
        <v>218</v>
      </c>
      <c r="J337" s="30"/>
      <c r="K337" s="30" t="s">
        <v>194</v>
      </c>
      <c r="L337" s="30"/>
      <c r="M337" s="30"/>
      <c r="N337" s="30"/>
      <c r="O337" s="31"/>
      <c r="P337" s="32"/>
      <c r="Q337" s="5"/>
      <c r="R337" s="10"/>
    </row>
    <row r="338" spans="1:18">
      <c r="A338" s="20" t="str">
        <f t="shared" si="210"/>
        <v>RESP</v>
      </c>
      <c r="B338" s="20" t="str">
        <f t="shared" si="211"/>
        <v>INIT</v>
      </c>
      <c r="C338" s="20" t="str">
        <f t="shared" si="212"/>
        <v/>
      </c>
      <c r="D338" s="5"/>
      <c r="E338" s="28" t="s">
        <v>797</v>
      </c>
      <c r="F338" s="36" t="s">
        <v>86</v>
      </c>
      <c r="G338" s="30" t="s">
        <v>223</v>
      </c>
      <c r="H338" s="30" t="s">
        <v>218</v>
      </c>
      <c r="I338" s="30" t="s">
        <v>218</v>
      </c>
      <c r="J338" s="30"/>
      <c r="K338" s="30" t="s">
        <v>194</v>
      </c>
      <c r="L338" s="30"/>
      <c r="M338" s="30"/>
      <c r="N338" s="30"/>
      <c r="O338" s="31"/>
      <c r="P338" s="32"/>
      <c r="Q338" s="5"/>
      <c r="R338" s="10"/>
    </row>
    <row r="339" spans="1:18">
      <c r="A339" s="20" t="str">
        <f t="shared" si="210"/>
        <v>RESP</v>
      </c>
      <c r="B339" s="20" t="str">
        <f t="shared" si="211"/>
        <v>INIT</v>
      </c>
      <c r="C339" s="20" t="str">
        <f t="shared" si="212"/>
        <v/>
      </c>
      <c r="D339" s="5"/>
      <c r="E339" s="28" t="s">
        <v>798</v>
      </c>
      <c r="F339" s="36" t="s">
        <v>118</v>
      </c>
      <c r="G339" s="30" t="s">
        <v>223</v>
      </c>
      <c r="H339" s="30" t="s">
        <v>218</v>
      </c>
      <c r="I339" s="30" t="s">
        <v>218</v>
      </c>
      <c r="J339" s="30"/>
      <c r="K339" s="30" t="s">
        <v>144</v>
      </c>
      <c r="L339" s="30"/>
      <c r="M339" s="30"/>
      <c r="N339" s="30"/>
      <c r="O339" s="31"/>
      <c r="P339" s="32"/>
      <c r="Q339" s="5"/>
      <c r="R339" s="10"/>
    </row>
    <row r="340" spans="1:18">
      <c r="A340" s="20" t="str">
        <f t="shared" si="210"/>
        <v>RESP</v>
      </c>
      <c r="B340" s="20" t="str">
        <f t="shared" si="211"/>
        <v>INIT</v>
      </c>
      <c r="C340" s="20" t="str">
        <f t="shared" si="212"/>
        <v/>
      </c>
      <c r="D340" s="5"/>
      <c r="E340" s="28" t="s">
        <v>799</v>
      </c>
      <c r="F340" s="36" t="s">
        <v>207</v>
      </c>
      <c r="G340" s="30" t="s">
        <v>223</v>
      </c>
      <c r="H340" s="30" t="s">
        <v>218</v>
      </c>
      <c r="I340" s="30" t="s">
        <v>218</v>
      </c>
      <c r="J340" s="30"/>
      <c r="K340" s="30" t="s">
        <v>144</v>
      </c>
      <c r="L340" s="30"/>
      <c r="M340" s="30"/>
      <c r="N340" s="30"/>
      <c r="O340" s="31"/>
      <c r="P340" s="32"/>
      <c r="Q340" s="5"/>
      <c r="R340" s="10"/>
    </row>
    <row r="341" spans="1:18" ht="78.5">
      <c r="A341" s="20" t="str">
        <f t="shared" ref="A341" si="213">IF(J341="","RESP","")</f>
        <v>RESP</v>
      </c>
      <c r="B341" s="20" t="str">
        <f t="shared" ref="B341" si="214">IF(M341="","INIT","")</f>
        <v>INIT</v>
      </c>
      <c r="C341" s="20" t="str">
        <f t="shared" ref="C341" si="215">IF(AND(J341="NO",O341=""),"CMTS","")</f>
        <v/>
      </c>
      <c r="D341" s="5"/>
      <c r="E341" s="28" t="s">
        <v>1130</v>
      </c>
      <c r="F341" s="33" t="s">
        <v>580</v>
      </c>
      <c r="G341" s="30" t="s">
        <v>223</v>
      </c>
      <c r="H341" s="30" t="s">
        <v>218</v>
      </c>
      <c r="I341" s="30" t="s">
        <v>218</v>
      </c>
      <c r="J341" s="30"/>
      <c r="K341" s="30" t="s">
        <v>194</v>
      </c>
      <c r="L341" s="30"/>
      <c r="M341" s="30"/>
      <c r="N341" s="30"/>
      <c r="O341" s="31"/>
      <c r="P341" s="32"/>
      <c r="Q341" s="5"/>
      <c r="R341" s="10"/>
    </row>
    <row r="342" spans="1:18">
      <c r="A342" s="20" t="str">
        <f t="shared" ref="A342" si="216">IF(J342="","RESP","")</f>
        <v>RESP</v>
      </c>
      <c r="B342" s="20" t="str">
        <f t="shared" ref="B342" si="217">IF(M342="","INIT","")</f>
        <v>INIT</v>
      </c>
      <c r="C342" s="20" t="str">
        <f t="shared" ref="C342" si="218">IF(AND(J342="NO",O342=""),"CMTS","")</f>
        <v/>
      </c>
      <c r="D342" s="5"/>
      <c r="E342" s="28" t="s">
        <v>1131</v>
      </c>
      <c r="F342" s="36" t="s">
        <v>724</v>
      </c>
      <c r="G342" s="30" t="s">
        <v>223</v>
      </c>
      <c r="H342" s="30" t="s">
        <v>218</v>
      </c>
      <c r="I342" s="30" t="s">
        <v>218</v>
      </c>
      <c r="J342" s="30"/>
      <c r="K342" s="30" t="s">
        <v>144</v>
      </c>
      <c r="L342" s="30"/>
      <c r="M342" s="30"/>
      <c r="N342" s="30"/>
      <c r="O342" s="31"/>
      <c r="P342" s="32"/>
      <c r="Q342" s="5"/>
      <c r="R342" s="10"/>
    </row>
    <row r="345" spans="1:18" ht="27.5">
      <c r="A345" s="12" t="s">
        <v>210</v>
      </c>
      <c r="B345" s="13"/>
      <c r="C345" s="13"/>
      <c r="D345" s="2"/>
      <c r="E345" s="22" t="s">
        <v>986</v>
      </c>
      <c r="F345" s="23"/>
      <c r="G345" s="40" t="s">
        <v>214</v>
      </c>
      <c r="H345" s="40" t="s">
        <v>215</v>
      </c>
      <c r="I345" s="40" t="s">
        <v>219</v>
      </c>
      <c r="J345" s="40" t="s">
        <v>211</v>
      </c>
      <c r="K345" s="40" t="s">
        <v>216</v>
      </c>
      <c r="L345" s="40" t="s">
        <v>217</v>
      </c>
      <c r="M345" s="40" t="s">
        <v>220</v>
      </c>
      <c r="N345" s="40" t="s">
        <v>221</v>
      </c>
      <c r="O345" s="40" t="s">
        <v>208</v>
      </c>
      <c r="P345" s="41" t="s">
        <v>249</v>
      </c>
      <c r="Q345" s="2"/>
      <c r="R345" s="9" t="s">
        <v>213</v>
      </c>
    </row>
    <row r="346" spans="1:18">
      <c r="A346" s="20" t="str">
        <f t="shared" ref="A346:A351" si="219">IF(J346="","RESP","")</f>
        <v>RESP</v>
      </c>
      <c r="B346" s="20" t="str">
        <f t="shared" ref="B346:B351" si="220">IF(M346="","INIT","")</f>
        <v>INIT</v>
      </c>
      <c r="C346" s="20" t="str">
        <f t="shared" ref="C346:C351" si="221">IF(AND(J346="NO",O346=""),"CMTS","")</f>
        <v/>
      </c>
      <c r="D346" s="5"/>
      <c r="E346" s="28" t="s">
        <v>987</v>
      </c>
      <c r="F346" s="36" t="s">
        <v>84</v>
      </c>
      <c r="G346" s="30" t="s">
        <v>223</v>
      </c>
      <c r="H346" s="30" t="s">
        <v>254</v>
      </c>
      <c r="I346" s="30" t="s">
        <v>218</v>
      </c>
      <c r="J346" s="30"/>
      <c r="K346" s="30" t="s">
        <v>144</v>
      </c>
      <c r="L346" s="30"/>
      <c r="M346" s="30"/>
      <c r="N346" s="30"/>
      <c r="O346" s="31"/>
      <c r="P346" s="32"/>
      <c r="Q346" s="5"/>
      <c r="R346" s="10"/>
    </row>
    <row r="347" spans="1:18">
      <c r="A347" s="20" t="str">
        <f t="shared" si="219"/>
        <v>RESP</v>
      </c>
      <c r="B347" s="20" t="str">
        <f t="shared" si="220"/>
        <v>INIT</v>
      </c>
      <c r="C347" s="20" t="str">
        <f t="shared" si="221"/>
        <v/>
      </c>
      <c r="D347" s="5"/>
      <c r="E347" s="28" t="s">
        <v>988</v>
      </c>
      <c r="F347" s="36" t="s">
        <v>117</v>
      </c>
      <c r="G347" s="30" t="s">
        <v>223</v>
      </c>
      <c r="H347" s="30" t="s">
        <v>229</v>
      </c>
      <c r="I347" s="30" t="s">
        <v>218</v>
      </c>
      <c r="J347" s="30"/>
      <c r="K347" s="30" t="s">
        <v>144</v>
      </c>
      <c r="L347" s="30"/>
      <c r="M347" s="30"/>
      <c r="N347" s="30"/>
      <c r="O347" s="31"/>
      <c r="P347" s="32"/>
      <c r="Q347" s="5"/>
      <c r="R347" s="10"/>
    </row>
    <row r="348" spans="1:18" ht="26.5">
      <c r="A348" s="20" t="str">
        <f t="shared" si="219"/>
        <v>RESP</v>
      </c>
      <c r="B348" s="20" t="str">
        <f t="shared" si="220"/>
        <v>INIT</v>
      </c>
      <c r="C348" s="20" t="str">
        <f t="shared" si="221"/>
        <v/>
      </c>
      <c r="D348" s="5"/>
      <c r="E348" s="28" t="s">
        <v>1138</v>
      </c>
      <c r="F348" s="36" t="s">
        <v>119</v>
      </c>
      <c r="G348" s="30" t="s">
        <v>223</v>
      </c>
      <c r="H348" s="30" t="s">
        <v>254</v>
      </c>
      <c r="I348" s="30" t="s">
        <v>218</v>
      </c>
      <c r="J348" s="30"/>
      <c r="K348" s="30" t="s">
        <v>144</v>
      </c>
      <c r="L348" s="30"/>
      <c r="M348" s="30"/>
      <c r="N348" s="30"/>
      <c r="O348" s="31"/>
      <c r="P348" s="32"/>
      <c r="Q348" s="5"/>
      <c r="R348" s="10"/>
    </row>
    <row r="349" spans="1:18" ht="26.5">
      <c r="A349" s="20" t="str">
        <f t="shared" si="219"/>
        <v>RESP</v>
      </c>
      <c r="B349" s="20" t="str">
        <f t="shared" si="220"/>
        <v>INIT</v>
      </c>
      <c r="C349" s="20" t="str">
        <f t="shared" si="221"/>
        <v/>
      </c>
      <c r="D349" s="5"/>
      <c r="E349" s="37" t="s">
        <v>989</v>
      </c>
      <c r="F349" s="39" t="s">
        <v>299</v>
      </c>
      <c r="G349" s="30" t="s">
        <v>223</v>
      </c>
      <c r="H349" s="30" t="s">
        <v>229</v>
      </c>
      <c r="I349" s="30" t="s">
        <v>226</v>
      </c>
      <c r="J349" s="30"/>
      <c r="K349" s="30" t="s">
        <v>194</v>
      </c>
      <c r="L349" s="30"/>
      <c r="M349" s="30"/>
      <c r="N349" s="30"/>
      <c r="O349" s="31"/>
      <c r="P349" s="32"/>
      <c r="Q349" s="5"/>
      <c r="R349" s="10"/>
    </row>
    <row r="350" spans="1:18" ht="26.5">
      <c r="A350" s="20" t="str">
        <f t="shared" si="219"/>
        <v>RESP</v>
      </c>
      <c r="B350" s="20" t="str">
        <f t="shared" si="220"/>
        <v>INIT</v>
      </c>
      <c r="C350" s="20" t="str">
        <f t="shared" si="221"/>
        <v/>
      </c>
      <c r="D350" s="5"/>
      <c r="E350" s="37" t="s">
        <v>990</v>
      </c>
      <c r="F350" s="39" t="s">
        <v>300</v>
      </c>
      <c r="G350" s="30" t="s">
        <v>223</v>
      </c>
      <c r="H350" s="30" t="s">
        <v>229</v>
      </c>
      <c r="I350" s="30" t="s">
        <v>226</v>
      </c>
      <c r="J350" s="30"/>
      <c r="K350" s="30" t="s">
        <v>194</v>
      </c>
      <c r="L350" s="30"/>
      <c r="M350" s="30"/>
      <c r="N350" s="30"/>
      <c r="O350" s="31"/>
      <c r="P350" s="32"/>
      <c r="Q350" s="5"/>
      <c r="R350" s="10"/>
    </row>
    <row r="351" spans="1:18" ht="26.5">
      <c r="A351" s="20" t="str">
        <f t="shared" si="219"/>
        <v>RESP</v>
      </c>
      <c r="B351" s="20" t="str">
        <f t="shared" si="220"/>
        <v>INIT</v>
      </c>
      <c r="C351" s="20" t="str">
        <f t="shared" si="221"/>
        <v/>
      </c>
      <c r="D351" s="5"/>
      <c r="E351" s="37" t="s">
        <v>1139</v>
      </c>
      <c r="F351" s="39" t="s">
        <v>301</v>
      </c>
      <c r="G351" s="30" t="s">
        <v>223</v>
      </c>
      <c r="H351" s="30" t="s">
        <v>229</v>
      </c>
      <c r="I351" s="30" t="s">
        <v>226</v>
      </c>
      <c r="J351" s="30"/>
      <c r="K351" s="30" t="s">
        <v>144</v>
      </c>
      <c r="L351" s="30"/>
      <c r="M351" s="30"/>
      <c r="N351" s="30"/>
      <c r="O351" s="31"/>
      <c r="P351" s="32"/>
      <c r="Q351" s="5"/>
      <c r="R351" s="10"/>
    </row>
    <row r="354" spans="1:18" ht="27.5">
      <c r="A354" s="12" t="s">
        <v>210</v>
      </c>
      <c r="B354" s="13"/>
      <c r="C354" s="13"/>
      <c r="D354" s="2"/>
      <c r="E354" s="22" t="s">
        <v>894</v>
      </c>
      <c r="F354" s="23"/>
      <c r="G354" s="40" t="s">
        <v>214</v>
      </c>
      <c r="H354" s="40" t="s">
        <v>215</v>
      </c>
      <c r="I354" s="40" t="s">
        <v>219</v>
      </c>
      <c r="J354" s="40" t="s">
        <v>211</v>
      </c>
      <c r="K354" s="40" t="s">
        <v>216</v>
      </c>
      <c r="L354" s="40" t="s">
        <v>217</v>
      </c>
      <c r="M354" s="40" t="s">
        <v>220</v>
      </c>
      <c r="N354" s="40" t="s">
        <v>221</v>
      </c>
      <c r="O354" s="40" t="s">
        <v>208</v>
      </c>
      <c r="P354" s="41" t="s">
        <v>249</v>
      </c>
      <c r="Q354" s="2"/>
      <c r="R354" s="9" t="s">
        <v>213</v>
      </c>
    </row>
    <row r="355" spans="1:18">
      <c r="A355" s="20" t="str">
        <f t="shared" ref="A355" si="222">IF(J355="","RESP","")</f>
        <v>RESP</v>
      </c>
      <c r="B355" s="20" t="str">
        <f t="shared" ref="B355" si="223">IF(M355="","INIT","")</f>
        <v>INIT</v>
      </c>
      <c r="C355" s="20" t="str">
        <f t="shared" ref="C355" si="224">IF(AND(J355="NO",O355=""),"CMTS","")</f>
        <v/>
      </c>
      <c r="D355" s="5"/>
      <c r="E355" s="28" t="s">
        <v>991</v>
      </c>
      <c r="F355" s="36" t="s">
        <v>893</v>
      </c>
      <c r="G355" s="30" t="s">
        <v>223</v>
      </c>
      <c r="H355" s="30" t="s">
        <v>861</v>
      </c>
      <c r="I355" s="30" t="s">
        <v>218</v>
      </c>
      <c r="J355" s="30"/>
      <c r="K355" s="30" t="s">
        <v>144</v>
      </c>
      <c r="L355" s="30"/>
      <c r="M355" s="30"/>
      <c r="N355" s="30"/>
      <c r="O355" s="31"/>
      <c r="P355" s="32"/>
      <c r="Q355" s="5"/>
      <c r="R355" s="10"/>
    </row>
    <row r="358" spans="1:18" ht="27.5">
      <c r="A358" s="12" t="s">
        <v>210</v>
      </c>
      <c r="B358" s="13"/>
      <c r="C358" s="13"/>
      <c r="D358" s="2"/>
      <c r="E358" s="22" t="s">
        <v>1113</v>
      </c>
      <c r="F358" s="23"/>
      <c r="G358" s="40" t="s">
        <v>214</v>
      </c>
      <c r="H358" s="40" t="s">
        <v>215</v>
      </c>
      <c r="I358" s="40" t="s">
        <v>219</v>
      </c>
      <c r="J358" s="40" t="s">
        <v>211</v>
      </c>
      <c r="K358" s="40" t="s">
        <v>216</v>
      </c>
      <c r="L358" s="40" t="s">
        <v>217</v>
      </c>
      <c r="M358" s="40" t="s">
        <v>220</v>
      </c>
      <c r="N358" s="40" t="s">
        <v>221</v>
      </c>
      <c r="O358" s="40" t="s">
        <v>208</v>
      </c>
      <c r="P358" s="41" t="s">
        <v>249</v>
      </c>
      <c r="Q358" s="2"/>
      <c r="R358" s="9" t="s">
        <v>213</v>
      </c>
    </row>
    <row r="359" spans="1:18">
      <c r="A359" s="20" t="str">
        <f t="shared" ref="A359" si="225">IF(J359="","RESP","")</f>
        <v>RESP</v>
      </c>
      <c r="B359" s="20" t="str">
        <f t="shared" ref="B359" si="226">IF(M359="","INIT","")</f>
        <v>INIT</v>
      </c>
      <c r="C359" s="20" t="str">
        <f t="shared" ref="C359" si="227">IF(AND(J359="NO",O359=""),"CMTS","")</f>
        <v/>
      </c>
      <c r="D359" s="5"/>
      <c r="E359" s="28" t="s">
        <v>1114</v>
      </c>
      <c r="F359" s="36" t="s">
        <v>1116</v>
      </c>
      <c r="G359" s="30" t="s">
        <v>222</v>
      </c>
      <c r="H359" s="30" t="s">
        <v>1075</v>
      </c>
      <c r="I359" s="30" t="s">
        <v>218</v>
      </c>
      <c r="J359" s="30"/>
      <c r="K359" s="30" t="s">
        <v>144</v>
      </c>
      <c r="L359" s="30"/>
      <c r="M359" s="30"/>
      <c r="N359" s="30"/>
      <c r="O359" s="31"/>
      <c r="P359" s="32"/>
      <c r="Q359" s="5"/>
      <c r="R359" s="10"/>
    </row>
    <row r="360" spans="1:18">
      <c r="A360" s="20" t="str">
        <f t="shared" ref="A360:A362" si="228">IF(J360="","RESP","")</f>
        <v>RESP</v>
      </c>
      <c r="B360" s="20" t="str">
        <f t="shared" ref="B360:B362" si="229">IF(M360="","INIT","")</f>
        <v>INIT</v>
      </c>
      <c r="C360" s="20" t="str">
        <f t="shared" ref="C360:C362" si="230">IF(AND(J360="NO",O360=""),"CMTS","")</f>
        <v/>
      </c>
      <c r="D360" s="5"/>
      <c r="E360" s="28" t="s">
        <v>1124</v>
      </c>
      <c r="F360" s="36" t="s">
        <v>1117</v>
      </c>
      <c r="G360" s="30" t="s">
        <v>222</v>
      </c>
      <c r="H360" s="30" t="s">
        <v>1075</v>
      </c>
      <c r="I360" s="30" t="s">
        <v>218</v>
      </c>
      <c r="J360" s="30"/>
      <c r="K360" s="30" t="s">
        <v>194</v>
      </c>
      <c r="L360" s="30"/>
      <c r="M360" s="30"/>
      <c r="N360" s="30"/>
      <c r="O360" s="31"/>
      <c r="P360" s="32"/>
      <c r="Q360" s="5"/>
      <c r="R360" s="10"/>
    </row>
    <row r="361" spans="1:18">
      <c r="A361" s="20" t="str">
        <f t="shared" si="228"/>
        <v>RESP</v>
      </c>
      <c r="B361" s="20" t="str">
        <f t="shared" si="229"/>
        <v>INIT</v>
      </c>
      <c r="C361" s="20" t="str">
        <f t="shared" si="230"/>
        <v/>
      </c>
      <c r="D361" s="5"/>
      <c r="E361" s="28" t="s">
        <v>1125</v>
      </c>
      <c r="F361" s="36" t="s">
        <v>1118</v>
      </c>
      <c r="G361" s="30" t="s">
        <v>222</v>
      </c>
      <c r="H361" s="30" t="s">
        <v>1075</v>
      </c>
      <c r="I361" s="30" t="s">
        <v>218</v>
      </c>
      <c r="J361" s="30"/>
      <c r="K361" s="30" t="s">
        <v>144</v>
      </c>
      <c r="L361" s="30"/>
      <c r="M361" s="30"/>
      <c r="N361" s="30"/>
      <c r="O361" s="31"/>
      <c r="P361" s="32"/>
      <c r="Q361" s="5"/>
      <c r="R361" s="10"/>
    </row>
    <row r="362" spans="1:18">
      <c r="A362" s="20" t="str">
        <f t="shared" si="228"/>
        <v>RESP</v>
      </c>
      <c r="B362" s="20" t="str">
        <f t="shared" si="229"/>
        <v>INIT</v>
      </c>
      <c r="C362" s="20" t="str">
        <f t="shared" si="230"/>
        <v/>
      </c>
      <c r="D362" s="5"/>
      <c r="E362" s="28" t="s">
        <v>1126</v>
      </c>
      <c r="F362" s="36" t="s">
        <v>1120</v>
      </c>
      <c r="G362" s="30" t="s">
        <v>222</v>
      </c>
      <c r="H362" s="30" t="s">
        <v>1075</v>
      </c>
      <c r="I362" s="30" t="s">
        <v>218</v>
      </c>
      <c r="J362" s="30"/>
      <c r="K362" s="30" t="s">
        <v>194</v>
      </c>
      <c r="L362" s="30"/>
      <c r="M362" s="30"/>
      <c r="N362" s="30"/>
      <c r="O362" s="31"/>
      <c r="P362" s="32"/>
      <c r="Q362" s="5"/>
      <c r="R362" s="10"/>
    </row>
    <row r="363" spans="1:18">
      <c r="A363" s="20" t="str">
        <f t="shared" ref="A363:A364" si="231">IF(J363="","RESP","")</f>
        <v>RESP</v>
      </c>
      <c r="B363" s="20" t="str">
        <f t="shared" ref="B363:B364" si="232">IF(M363="","INIT","")</f>
        <v>INIT</v>
      </c>
      <c r="C363" s="20" t="str">
        <f t="shared" ref="C363:C364" si="233">IF(AND(J363="NO",O363=""),"CMTS","")</f>
        <v/>
      </c>
      <c r="D363" s="5"/>
      <c r="E363" s="28" t="s">
        <v>1127</v>
      </c>
      <c r="F363" s="36" t="s">
        <v>1121</v>
      </c>
      <c r="G363" s="30" t="s">
        <v>222</v>
      </c>
      <c r="H363" s="30" t="s">
        <v>1075</v>
      </c>
      <c r="I363" s="30" t="s">
        <v>218</v>
      </c>
      <c r="J363" s="30"/>
      <c r="K363" s="30" t="s">
        <v>194</v>
      </c>
      <c r="L363" s="30"/>
      <c r="M363" s="30"/>
      <c r="N363" s="30"/>
      <c r="O363" s="31"/>
      <c r="P363" s="32"/>
      <c r="Q363" s="5"/>
      <c r="R363" s="10"/>
    </row>
    <row r="364" spans="1:18">
      <c r="A364" s="20" t="str">
        <f t="shared" si="231"/>
        <v>RESP</v>
      </c>
      <c r="B364" s="20" t="str">
        <f t="shared" si="232"/>
        <v>INIT</v>
      </c>
      <c r="C364" s="20" t="str">
        <f t="shared" si="233"/>
        <v/>
      </c>
      <c r="D364" s="5"/>
      <c r="E364" s="28" t="s">
        <v>1128</v>
      </c>
      <c r="F364" s="36" t="s">
        <v>1122</v>
      </c>
      <c r="G364" s="30" t="s">
        <v>222</v>
      </c>
      <c r="H364" s="30" t="s">
        <v>1075</v>
      </c>
      <c r="I364" s="30" t="s">
        <v>218</v>
      </c>
      <c r="J364" s="30"/>
      <c r="K364" s="30" t="s">
        <v>194</v>
      </c>
      <c r="L364" s="30"/>
      <c r="M364" s="30"/>
      <c r="N364" s="30"/>
      <c r="O364" s="31"/>
      <c r="P364" s="32"/>
      <c r="Q364" s="5"/>
      <c r="R364" s="10"/>
    </row>
    <row r="365" spans="1:18">
      <c r="A365" s="20" t="str">
        <f t="shared" ref="A365" si="234">IF(J365="","RESP","")</f>
        <v>RESP</v>
      </c>
      <c r="B365" s="20" t="str">
        <f t="shared" ref="B365" si="235">IF(M365="","INIT","")</f>
        <v>INIT</v>
      </c>
      <c r="C365" s="20" t="str">
        <f t="shared" ref="C365" si="236">IF(AND(J365="NO",O365=""),"CMTS","")</f>
        <v/>
      </c>
      <c r="D365" s="5"/>
      <c r="E365" s="28" t="s">
        <v>1129</v>
      </c>
      <c r="F365" s="36" t="s">
        <v>1123</v>
      </c>
      <c r="G365" s="30" t="s">
        <v>222</v>
      </c>
      <c r="H365" s="30" t="s">
        <v>1075</v>
      </c>
      <c r="I365" s="30" t="s">
        <v>218</v>
      </c>
      <c r="J365" s="30"/>
      <c r="K365" s="30" t="s">
        <v>144</v>
      </c>
      <c r="L365" s="30"/>
      <c r="M365" s="30"/>
      <c r="N365" s="30"/>
      <c r="O365" s="31"/>
      <c r="P365" s="32"/>
      <c r="Q365" s="5"/>
      <c r="R365" s="10"/>
    </row>
    <row r="368" spans="1:18" ht="27.5">
      <c r="A368" s="12" t="s">
        <v>210</v>
      </c>
      <c r="B368" s="13"/>
      <c r="C368" s="13"/>
      <c r="D368" s="2"/>
      <c r="E368" s="22" t="s">
        <v>800</v>
      </c>
      <c r="F368" s="23"/>
      <c r="G368" s="40" t="s">
        <v>214</v>
      </c>
      <c r="H368" s="40" t="s">
        <v>215</v>
      </c>
      <c r="I368" s="40" t="s">
        <v>219</v>
      </c>
      <c r="J368" s="40" t="s">
        <v>211</v>
      </c>
      <c r="K368" s="40" t="s">
        <v>216</v>
      </c>
      <c r="L368" s="40" t="s">
        <v>217</v>
      </c>
      <c r="M368" s="40" t="s">
        <v>220</v>
      </c>
      <c r="N368" s="40" t="s">
        <v>221</v>
      </c>
      <c r="O368" s="40" t="s">
        <v>208</v>
      </c>
      <c r="P368" s="41" t="s">
        <v>249</v>
      </c>
      <c r="Q368" s="2"/>
      <c r="R368" s="9" t="s">
        <v>213</v>
      </c>
    </row>
    <row r="369" spans="1:18">
      <c r="A369" s="20" t="str">
        <f t="shared" ref="A369:A387" si="237">IF(J369="","RESP","")</f>
        <v>RESP</v>
      </c>
      <c r="B369" s="20" t="str">
        <f t="shared" ref="B369:B387" si="238">IF(M369="","INIT","")</f>
        <v>INIT</v>
      </c>
      <c r="C369" s="20" t="str">
        <f t="shared" ref="C369:C387" si="239">IF(AND(J369="NO",O369=""),"CMTS","")</f>
        <v/>
      </c>
      <c r="D369" s="5"/>
      <c r="E369" s="28" t="s">
        <v>420</v>
      </c>
      <c r="F369" s="36" t="s">
        <v>87</v>
      </c>
      <c r="G369" s="30" t="s">
        <v>223</v>
      </c>
      <c r="H369" s="30" t="s">
        <v>218</v>
      </c>
      <c r="I369" s="30" t="s">
        <v>218</v>
      </c>
      <c r="J369" s="30"/>
      <c r="K369" s="30" t="s">
        <v>144</v>
      </c>
      <c r="L369" s="30"/>
      <c r="M369" s="30"/>
      <c r="N369" s="30"/>
      <c r="O369" s="31"/>
      <c r="P369" s="32"/>
      <c r="Q369" s="5"/>
      <c r="R369" s="10"/>
    </row>
    <row r="370" spans="1:18">
      <c r="A370" s="20" t="str">
        <f t="shared" ref="A370" si="240">IF(J370="","RESP","")</f>
        <v>RESP</v>
      </c>
      <c r="B370" s="20" t="str">
        <f t="shared" ref="B370" si="241">IF(M370="","INIT","")</f>
        <v>INIT</v>
      </c>
      <c r="C370" s="20" t="str">
        <f t="shared" ref="C370" si="242">IF(AND(J370="NO",O370=""),"CMTS","")</f>
        <v/>
      </c>
      <c r="D370" s="5"/>
      <c r="E370" s="28" t="s">
        <v>421</v>
      </c>
      <c r="F370" s="36" t="s">
        <v>772</v>
      </c>
      <c r="G370" s="30" t="s">
        <v>223</v>
      </c>
      <c r="H370" s="30" t="s">
        <v>218</v>
      </c>
      <c r="I370" s="30" t="s">
        <v>218</v>
      </c>
      <c r="J370" s="30"/>
      <c r="K370" s="30" t="s">
        <v>144</v>
      </c>
      <c r="L370" s="30"/>
      <c r="M370" s="30"/>
      <c r="N370" s="30"/>
      <c r="O370" s="31"/>
      <c r="P370" s="32"/>
      <c r="Q370" s="5"/>
      <c r="R370" s="10"/>
    </row>
    <row r="371" spans="1:18">
      <c r="A371" s="20" t="str">
        <f t="shared" si="237"/>
        <v>RESP</v>
      </c>
      <c r="B371" s="20" t="str">
        <f t="shared" si="238"/>
        <v>INIT</v>
      </c>
      <c r="C371" s="20" t="str">
        <f t="shared" si="239"/>
        <v/>
      </c>
      <c r="D371" s="5"/>
      <c r="E371" s="28" t="s">
        <v>422</v>
      </c>
      <c r="F371" s="36" t="s">
        <v>769</v>
      </c>
      <c r="G371" s="30" t="s">
        <v>223</v>
      </c>
      <c r="H371" s="30" t="s">
        <v>218</v>
      </c>
      <c r="I371" s="30" t="s">
        <v>218</v>
      </c>
      <c r="J371" s="30"/>
      <c r="K371" s="30" t="s">
        <v>144</v>
      </c>
      <c r="L371" s="30"/>
      <c r="M371" s="30"/>
      <c r="N371" s="30"/>
      <c r="O371" s="31"/>
      <c r="P371" s="32"/>
      <c r="Q371" s="5"/>
      <c r="R371" s="10"/>
    </row>
    <row r="372" spans="1:18" ht="26.5">
      <c r="A372" s="20" t="str">
        <f t="shared" si="237"/>
        <v>RESP</v>
      </c>
      <c r="B372" s="20" t="str">
        <f t="shared" si="238"/>
        <v>INIT</v>
      </c>
      <c r="C372" s="20" t="str">
        <f t="shared" si="239"/>
        <v/>
      </c>
      <c r="D372" s="5"/>
      <c r="E372" s="28" t="s">
        <v>423</v>
      </c>
      <c r="F372" s="36" t="s">
        <v>166</v>
      </c>
      <c r="G372" s="30" t="s">
        <v>223</v>
      </c>
      <c r="H372" s="30" t="s">
        <v>218</v>
      </c>
      <c r="I372" s="30" t="s">
        <v>218</v>
      </c>
      <c r="J372" s="30"/>
      <c r="K372" s="30" t="s">
        <v>144</v>
      </c>
      <c r="L372" s="30"/>
      <c r="M372" s="30"/>
      <c r="N372" s="30"/>
      <c r="O372" s="31"/>
      <c r="P372" s="32"/>
      <c r="Q372" s="5"/>
      <c r="R372" s="10"/>
    </row>
    <row r="373" spans="1:18" ht="26.5">
      <c r="A373" s="20" t="str">
        <f t="shared" si="237"/>
        <v>RESP</v>
      </c>
      <c r="B373" s="20" t="str">
        <f t="shared" si="238"/>
        <v>INIT</v>
      </c>
      <c r="C373" s="20" t="str">
        <f t="shared" si="239"/>
        <v/>
      </c>
      <c r="D373" s="5"/>
      <c r="E373" s="28" t="s">
        <v>424</v>
      </c>
      <c r="F373" s="36" t="s">
        <v>120</v>
      </c>
      <c r="G373" s="30" t="s">
        <v>223</v>
      </c>
      <c r="H373" s="30" t="s">
        <v>218</v>
      </c>
      <c r="I373" s="30" t="s">
        <v>218</v>
      </c>
      <c r="J373" s="30"/>
      <c r="K373" s="30" t="s">
        <v>194</v>
      </c>
      <c r="L373" s="30"/>
      <c r="M373" s="30"/>
      <c r="N373" s="30"/>
      <c r="O373" s="31"/>
      <c r="P373" s="32"/>
      <c r="Q373" s="5"/>
      <c r="R373" s="10"/>
    </row>
    <row r="374" spans="1:18">
      <c r="A374" s="20" t="str">
        <f t="shared" si="237"/>
        <v>RESP</v>
      </c>
      <c r="B374" s="20" t="str">
        <f t="shared" si="238"/>
        <v>INIT</v>
      </c>
      <c r="C374" s="20" t="str">
        <f t="shared" si="239"/>
        <v/>
      </c>
      <c r="D374" s="5"/>
      <c r="E374" s="28" t="s">
        <v>425</v>
      </c>
      <c r="F374" s="36" t="s">
        <v>12</v>
      </c>
      <c r="G374" s="30" t="s">
        <v>223</v>
      </c>
      <c r="H374" s="30" t="s">
        <v>218</v>
      </c>
      <c r="I374" s="30" t="s">
        <v>218</v>
      </c>
      <c r="J374" s="30"/>
      <c r="K374" s="30" t="s">
        <v>194</v>
      </c>
      <c r="L374" s="30"/>
      <c r="M374" s="30"/>
      <c r="N374" s="30"/>
      <c r="O374" s="31"/>
      <c r="P374" s="32"/>
      <c r="Q374" s="5"/>
      <c r="R374" s="10"/>
    </row>
    <row r="375" spans="1:18">
      <c r="A375" s="20" t="str">
        <f t="shared" si="237"/>
        <v>RESP</v>
      </c>
      <c r="B375" s="20" t="str">
        <f t="shared" si="238"/>
        <v>INIT</v>
      </c>
      <c r="C375" s="20" t="str">
        <f t="shared" si="239"/>
        <v/>
      </c>
      <c r="D375" s="5"/>
      <c r="E375" s="28" t="s">
        <v>801</v>
      </c>
      <c r="F375" s="36" t="s">
        <v>169</v>
      </c>
      <c r="G375" s="30" t="s">
        <v>223</v>
      </c>
      <c r="H375" s="30" t="s">
        <v>218</v>
      </c>
      <c r="I375" s="30" t="s">
        <v>218</v>
      </c>
      <c r="J375" s="30"/>
      <c r="K375" s="30" t="s">
        <v>144</v>
      </c>
      <c r="L375" s="30"/>
      <c r="M375" s="30"/>
      <c r="N375" s="30"/>
      <c r="O375" s="31"/>
      <c r="P375" s="32"/>
      <c r="Q375" s="5"/>
      <c r="R375" s="10"/>
    </row>
    <row r="376" spans="1:18">
      <c r="A376" s="20" t="str">
        <f t="shared" si="237"/>
        <v>RESP</v>
      </c>
      <c r="B376" s="20" t="str">
        <f t="shared" si="238"/>
        <v>INIT</v>
      </c>
      <c r="C376" s="20" t="str">
        <f t="shared" si="239"/>
        <v/>
      </c>
      <c r="D376" s="5"/>
      <c r="E376" s="28" t="s">
        <v>802</v>
      </c>
      <c r="F376" s="36" t="s">
        <v>88</v>
      </c>
      <c r="G376" s="30" t="s">
        <v>223</v>
      </c>
      <c r="H376" s="30" t="s">
        <v>218</v>
      </c>
      <c r="I376" s="30" t="s">
        <v>218</v>
      </c>
      <c r="J376" s="30"/>
      <c r="K376" s="30" t="s">
        <v>144</v>
      </c>
      <c r="L376" s="30"/>
      <c r="M376" s="30"/>
      <c r="N376" s="30"/>
      <c r="O376" s="31"/>
      <c r="P376" s="32"/>
      <c r="Q376" s="5"/>
      <c r="R376" s="10"/>
    </row>
    <row r="377" spans="1:18" ht="26.5">
      <c r="A377" s="20" t="str">
        <f t="shared" si="237"/>
        <v>RESP</v>
      </c>
      <c r="B377" s="20" t="str">
        <f t="shared" si="238"/>
        <v>INIT</v>
      </c>
      <c r="C377" s="20" t="str">
        <f t="shared" si="239"/>
        <v/>
      </c>
      <c r="D377" s="5"/>
      <c r="E377" s="28" t="s">
        <v>803</v>
      </c>
      <c r="F377" s="36" t="s">
        <v>302</v>
      </c>
      <c r="G377" s="30" t="s">
        <v>223</v>
      </c>
      <c r="H377" s="30" t="s">
        <v>218</v>
      </c>
      <c r="I377" s="30" t="s">
        <v>218</v>
      </c>
      <c r="J377" s="30"/>
      <c r="K377" s="30" t="s">
        <v>144</v>
      </c>
      <c r="L377" s="30"/>
      <c r="M377" s="30"/>
      <c r="N377" s="30"/>
      <c r="O377" s="31"/>
      <c r="P377" s="32"/>
      <c r="Q377" s="5"/>
      <c r="R377" s="10"/>
    </row>
    <row r="378" spans="1:18">
      <c r="A378" s="20" t="str">
        <f t="shared" si="237"/>
        <v>RESP</v>
      </c>
      <c r="B378" s="20" t="str">
        <f t="shared" si="238"/>
        <v>INIT</v>
      </c>
      <c r="C378" s="20" t="str">
        <f t="shared" si="239"/>
        <v/>
      </c>
      <c r="D378" s="5"/>
      <c r="E378" s="28" t="s">
        <v>804</v>
      </c>
      <c r="F378" s="36" t="s">
        <v>89</v>
      </c>
      <c r="G378" s="30" t="s">
        <v>223</v>
      </c>
      <c r="H378" s="30" t="s">
        <v>218</v>
      </c>
      <c r="I378" s="30" t="s">
        <v>218</v>
      </c>
      <c r="J378" s="30"/>
      <c r="K378" s="30" t="s">
        <v>144</v>
      </c>
      <c r="L378" s="30"/>
      <c r="M378" s="30"/>
      <c r="N378" s="30"/>
      <c r="O378" s="31"/>
      <c r="P378" s="32"/>
      <c r="Q378" s="5"/>
      <c r="R378" s="10"/>
    </row>
    <row r="379" spans="1:18">
      <c r="A379" s="20" t="str">
        <f t="shared" si="237"/>
        <v>RESP</v>
      </c>
      <c r="B379" s="20" t="str">
        <f t="shared" si="238"/>
        <v>INIT</v>
      </c>
      <c r="C379" s="20" t="str">
        <f t="shared" si="239"/>
        <v/>
      </c>
      <c r="D379" s="5"/>
      <c r="E379" s="28" t="s">
        <v>805</v>
      </c>
      <c r="F379" s="36" t="s">
        <v>93</v>
      </c>
      <c r="G379" s="30" t="s">
        <v>223</v>
      </c>
      <c r="H379" s="30" t="s">
        <v>218</v>
      </c>
      <c r="I379" s="30" t="s">
        <v>218</v>
      </c>
      <c r="J379" s="30"/>
      <c r="K379" s="30" t="s">
        <v>194</v>
      </c>
      <c r="L379" s="30"/>
      <c r="M379" s="30"/>
      <c r="N379" s="30"/>
      <c r="O379" s="31"/>
      <c r="P379" s="32"/>
      <c r="Q379" s="5"/>
      <c r="R379" s="10"/>
    </row>
    <row r="380" spans="1:18">
      <c r="A380" s="20" t="str">
        <f t="shared" si="237"/>
        <v>RESP</v>
      </c>
      <c r="B380" s="20" t="str">
        <f t="shared" si="238"/>
        <v>INIT</v>
      </c>
      <c r="C380" s="20" t="str">
        <f t="shared" si="239"/>
        <v/>
      </c>
      <c r="D380" s="5"/>
      <c r="E380" s="28" t="s">
        <v>806</v>
      </c>
      <c r="F380" s="36" t="s">
        <v>152</v>
      </c>
      <c r="G380" s="30" t="s">
        <v>223</v>
      </c>
      <c r="H380" s="30" t="s">
        <v>218</v>
      </c>
      <c r="I380" s="30" t="s">
        <v>218</v>
      </c>
      <c r="J380" s="30"/>
      <c r="K380" s="30" t="s">
        <v>194</v>
      </c>
      <c r="L380" s="30"/>
      <c r="M380" s="30"/>
      <c r="N380" s="30"/>
      <c r="O380" s="31"/>
      <c r="P380" s="32"/>
      <c r="Q380" s="5"/>
      <c r="R380" s="10"/>
    </row>
    <row r="381" spans="1:18" ht="169.5">
      <c r="A381" s="20" t="str">
        <f t="shared" si="237"/>
        <v>RESP</v>
      </c>
      <c r="B381" s="20" t="str">
        <f t="shared" si="238"/>
        <v>INIT</v>
      </c>
      <c r="C381" s="20" t="str">
        <f t="shared" si="239"/>
        <v/>
      </c>
      <c r="D381" s="5"/>
      <c r="E381" s="28" t="s">
        <v>807</v>
      </c>
      <c r="F381" s="36" t="s">
        <v>201</v>
      </c>
      <c r="G381" s="30" t="s">
        <v>223</v>
      </c>
      <c r="H381" s="30" t="s">
        <v>218</v>
      </c>
      <c r="I381" s="30" t="s">
        <v>218</v>
      </c>
      <c r="J381" s="30"/>
      <c r="K381" s="30" t="s">
        <v>194</v>
      </c>
      <c r="L381" s="30"/>
      <c r="M381" s="30"/>
      <c r="N381" s="30"/>
      <c r="O381" s="31"/>
      <c r="P381" s="32"/>
      <c r="Q381" s="5"/>
      <c r="R381" s="10"/>
    </row>
    <row r="382" spans="1:18">
      <c r="A382" s="20" t="str">
        <f t="shared" si="237"/>
        <v>RESP</v>
      </c>
      <c r="B382" s="20" t="str">
        <f t="shared" si="238"/>
        <v>INIT</v>
      </c>
      <c r="C382" s="20" t="str">
        <f t="shared" si="239"/>
        <v/>
      </c>
      <c r="D382" s="5"/>
      <c r="E382" s="28" t="s">
        <v>808</v>
      </c>
      <c r="F382" s="36" t="s">
        <v>90</v>
      </c>
      <c r="G382" s="30" t="s">
        <v>223</v>
      </c>
      <c r="H382" s="30" t="s">
        <v>218</v>
      </c>
      <c r="I382" s="30" t="s">
        <v>218</v>
      </c>
      <c r="J382" s="30"/>
      <c r="K382" s="30" t="s">
        <v>194</v>
      </c>
      <c r="L382" s="30"/>
      <c r="M382" s="30"/>
      <c r="N382" s="30"/>
      <c r="O382" s="31"/>
      <c r="P382" s="32"/>
      <c r="Q382" s="5"/>
      <c r="R382" s="10"/>
    </row>
    <row r="383" spans="1:18">
      <c r="A383" s="20" t="str">
        <f t="shared" si="237"/>
        <v>RESP</v>
      </c>
      <c r="B383" s="20" t="str">
        <f t="shared" si="238"/>
        <v>INIT</v>
      </c>
      <c r="C383" s="20" t="str">
        <f t="shared" si="239"/>
        <v/>
      </c>
      <c r="D383" s="5"/>
      <c r="E383" s="28" t="s">
        <v>809</v>
      </c>
      <c r="F383" s="36" t="s">
        <v>170</v>
      </c>
      <c r="G383" s="30" t="s">
        <v>223</v>
      </c>
      <c r="H383" s="30" t="s">
        <v>218</v>
      </c>
      <c r="I383" s="30" t="s">
        <v>218</v>
      </c>
      <c r="J383" s="30"/>
      <c r="K383" s="30" t="s">
        <v>194</v>
      </c>
      <c r="L383" s="30"/>
      <c r="M383" s="30"/>
      <c r="N383" s="30"/>
      <c r="O383" s="31"/>
      <c r="P383" s="32"/>
      <c r="Q383" s="5"/>
      <c r="R383" s="10"/>
    </row>
    <row r="384" spans="1:18">
      <c r="A384" s="20" t="str">
        <f t="shared" si="237"/>
        <v>RESP</v>
      </c>
      <c r="B384" s="20" t="str">
        <f t="shared" si="238"/>
        <v>INIT</v>
      </c>
      <c r="C384" s="20" t="str">
        <f t="shared" si="239"/>
        <v/>
      </c>
      <c r="D384" s="5"/>
      <c r="E384" s="28" t="s">
        <v>810</v>
      </c>
      <c r="F384" s="36" t="s">
        <v>91</v>
      </c>
      <c r="G384" s="30" t="s">
        <v>223</v>
      </c>
      <c r="H384" s="30" t="s">
        <v>218</v>
      </c>
      <c r="I384" s="30" t="s">
        <v>218</v>
      </c>
      <c r="J384" s="30"/>
      <c r="K384" s="30" t="s">
        <v>194</v>
      </c>
      <c r="L384" s="30"/>
      <c r="M384" s="30"/>
      <c r="N384" s="30"/>
      <c r="O384" s="31"/>
      <c r="P384" s="32"/>
      <c r="Q384" s="5"/>
      <c r="R384" s="10"/>
    </row>
    <row r="385" spans="1:18">
      <c r="A385" s="20" t="str">
        <f t="shared" si="237"/>
        <v>RESP</v>
      </c>
      <c r="B385" s="20" t="str">
        <f t="shared" si="238"/>
        <v>INIT</v>
      </c>
      <c r="C385" s="20" t="str">
        <f t="shared" si="239"/>
        <v/>
      </c>
      <c r="D385" s="5"/>
      <c r="E385" s="28" t="s">
        <v>811</v>
      </c>
      <c r="F385" s="36" t="s">
        <v>121</v>
      </c>
      <c r="G385" s="30" t="s">
        <v>223</v>
      </c>
      <c r="H385" s="30" t="s">
        <v>218</v>
      </c>
      <c r="I385" s="30" t="s">
        <v>218</v>
      </c>
      <c r="J385" s="30"/>
      <c r="K385" s="30" t="s">
        <v>194</v>
      </c>
      <c r="L385" s="30"/>
      <c r="M385" s="30"/>
      <c r="N385" s="30"/>
      <c r="O385" s="31"/>
      <c r="P385" s="32"/>
      <c r="Q385" s="5"/>
      <c r="R385" s="10"/>
    </row>
    <row r="386" spans="1:18">
      <c r="A386" s="20" t="str">
        <f t="shared" si="237"/>
        <v>RESP</v>
      </c>
      <c r="B386" s="20" t="str">
        <f t="shared" si="238"/>
        <v>INIT</v>
      </c>
      <c r="C386" s="20" t="str">
        <f t="shared" si="239"/>
        <v/>
      </c>
      <c r="D386" s="5"/>
      <c r="E386" s="28" t="s">
        <v>812</v>
      </c>
      <c r="F386" s="36" t="s">
        <v>94</v>
      </c>
      <c r="G386" s="30" t="s">
        <v>223</v>
      </c>
      <c r="H386" s="30" t="s">
        <v>218</v>
      </c>
      <c r="I386" s="30" t="s">
        <v>218</v>
      </c>
      <c r="J386" s="30"/>
      <c r="K386" s="30" t="s">
        <v>194</v>
      </c>
      <c r="L386" s="30"/>
      <c r="M386" s="30"/>
      <c r="N386" s="30"/>
      <c r="O386" s="31"/>
      <c r="P386" s="32"/>
      <c r="Q386" s="5"/>
      <c r="R386" s="10"/>
    </row>
    <row r="387" spans="1:18">
      <c r="A387" s="20" t="str">
        <f t="shared" si="237"/>
        <v>RESP</v>
      </c>
      <c r="B387" s="20" t="str">
        <f t="shared" si="238"/>
        <v>INIT</v>
      </c>
      <c r="C387" s="20" t="str">
        <f t="shared" si="239"/>
        <v/>
      </c>
      <c r="D387" s="5"/>
      <c r="E387" s="28" t="s">
        <v>813</v>
      </c>
      <c r="F387" s="36" t="s">
        <v>92</v>
      </c>
      <c r="G387" s="30" t="s">
        <v>223</v>
      </c>
      <c r="H387" s="30" t="s">
        <v>218</v>
      </c>
      <c r="I387" s="30" t="s">
        <v>218</v>
      </c>
      <c r="J387" s="30"/>
      <c r="K387" s="30" t="s">
        <v>194</v>
      </c>
      <c r="L387" s="30"/>
      <c r="M387" s="30"/>
      <c r="N387" s="30"/>
      <c r="O387" s="31"/>
      <c r="P387" s="32"/>
      <c r="Q387" s="5"/>
      <c r="R387" s="10"/>
    </row>
    <row r="388" spans="1:18">
      <c r="A388" s="20" t="str">
        <f t="shared" ref="A388:A389" si="243">IF(J388="","RESP","")</f>
        <v>RESP</v>
      </c>
      <c r="B388" s="20" t="str">
        <f t="shared" ref="B388:B389" si="244">IF(M388="","INIT","")</f>
        <v>INIT</v>
      </c>
      <c r="C388" s="20" t="str">
        <f t="shared" ref="C388:C389" si="245">IF(AND(J388="NO",O388=""),"CMTS","")</f>
        <v/>
      </c>
      <c r="D388" s="5"/>
      <c r="E388" s="28" t="s">
        <v>814</v>
      </c>
      <c r="F388" s="36" t="s">
        <v>770</v>
      </c>
      <c r="G388" s="30" t="s">
        <v>223</v>
      </c>
      <c r="H388" s="30" t="s">
        <v>218</v>
      </c>
      <c r="I388" s="30" t="s">
        <v>218</v>
      </c>
      <c r="J388" s="30"/>
      <c r="K388" s="30" t="s">
        <v>194</v>
      </c>
      <c r="L388" s="30"/>
      <c r="M388" s="30"/>
      <c r="N388" s="30"/>
      <c r="O388" s="31"/>
      <c r="P388" s="32"/>
      <c r="Q388" s="5"/>
      <c r="R388" s="10"/>
    </row>
    <row r="389" spans="1:18">
      <c r="A389" s="20" t="str">
        <f t="shared" si="243"/>
        <v>RESP</v>
      </c>
      <c r="B389" s="20" t="str">
        <f t="shared" si="244"/>
        <v>INIT</v>
      </c>
      <c r="C389" s="20" t="str">
        <f t="shared" si="245"/>
        <v/>
      </c>
      <c r="D389" s="5"/>
      <c r="E389" s="28" t="s">
        <v>815</v>
      </c>
      <c r="F389" s="36" t="s">
        <v>771</v>
      </c>
      <c r="G389" s="30" t="s">
        <v>223</v>
      </c>
      <c r="H389" s="30" t="s">
        <v>218</v>
      </c>
      <c r="I389" s="30" t="s">
        <v>218</v>
      </c>
      <c r="J389" s="30"/>
      <c r="K389" s="30" t="s">
        <v>194</v>
      </c>
      <c r="L389" s="30"/>
      <c r="M389" s="30"/>
      <c r="N389" s="30"/>
      <c r="O389" s="31"/>
      <c r="P389" s="32"/>
      <c r="Q389" s="5"/>
      <c r="R389" s="10"/>
    </row>
    <row r="390" spans="1:18">
      <c r="A390" s="20" t="str">
        <f t="shared" ref="A390:A398" si="246">IF(J390="","RESP","")</f>
        <v>RESP</v>
      </c>
      <c r="B390" s="20" t="str">
        <f t="shared" ref="B390:B398" si="247">IF(M390="","INIT","")</f>
        <v>INIT</v>
      </c>
      <c r="C390" s="20" t="str">
        <f t="shared" ref="C390:C398" si="248">IF(AND(J390="NO",O390=""),"CMTS","")</f>
        <v/>
      </c>
      <c r="D390" s="5"/>
      <c r="E390" s="28" t="s">
        <v>816</v>
      </c>
      <c r="F390" s="36" t="s">
        <v>95</v>
      </c>
      <c r="G390" s="30" t="s">
        <v>223</v>
      </c>
      <c r="H390" s="30" t="s">
        <v>218</v>
      </c>
      <c r="I390" s="30" t="s">
        <v>218</v>
      </c>
      <c r="J390" s="30"/>
      <c r="K390" s="30" t="s">
        <v>194</v>
      </c>
      <c r="L390" s="30"/>
      <c r="M390" s="30"/>
      <c r="N390" s="30"/>
      <c r="O390" s="31"/>
      <c r="P390" s="32"/>
      <c r="Q390" s="5"/>
      <c r="R390" s="10"/>
    </row>
    <row r="391" spans="1:18">
      <c r="A391" s="20" t="str">
        <f t="shared" si="246"/>
        <v>RESP</v>
      </c>
      <c r="B391" s="20" t="str">
        <f t="shared" si="247"/>
        <v>INIT</v>
      </c>
      <c r="C391" s="20" t="str">
        <f t="shared" si="248"/>
        <v/>
      </c>
      <c r="D391" s="5"/>
      <c r="E391" s="28" t="s">
        <v>817</v>
      </c>
      <c r="F391" s="36" t="s">
        <v>96</v>
      </c>
      <c r="G391" s="30" t="s">
        <v>223</v>
      </c>
      <c r="H391" s="30" t="s">
        <v>218</v>
      </c>
      <c r="I391" s="30" t="s">
        <v>218</v>
      </c>
      <c r="J391" s="30"/>
      <c r="K391" s="30" t="s">
        <v>194</v>
      </c>
      <c r="L391" s="30"/>
      <c r="M391" s="30"/>
      <c r="N391" s="30"/>
      <c r="O391" s="31"/>
      <c r="P391" s="32"/>
      <c r="Q391" s="5"/>
      <c r="R391" s="10"/>
    </row>
    <row r="392" spans="1:18">
      <c r="A392" s="20" t="str">
        <f>IF(J392="","RESP","")</f>
        <v>RESP</v>
      </c>
      <c r="B392" s="20" t="str">
        <f t="shared" si="247"/>
        <v>INIT</v>
      </c>
      <c r="C392" s="20" t="str">
        <f>IF(AND(J392="NO",O392=""),"CMTS","")</f>
        <v/>
      </c>
      <c r="D392" s="5"/>
      <c r="E392" s="28" t="s">
        <v>818</v>
      </c>
      <c r="F392" s="36" t="s">
        <v>97</v>
      </c>
      <c r="G392" s="30" t="s">
        <v>223</v>
      </c>
      <c r="H392" s="30" t="s">
        <v>218</v>
      </c>
      <c r="I392" s="30" t="s">
        <v>225</v>
      </c>
      <c r="J392" s="30"/>
      <c r="K392" s="30" t="s">
        <v>144</v>
      </c>
      <c r="L392" s="30"/>
      <c r="M392" s="30"/>
      <c r="N392" s="30"/>
      <c r="O392" s="31"/>
      <c r="P392" s="32"/>
      <c r="Q392" s="5"/>
      <c r="R392" s="10"/>
    </row>
    <row r="393" spans="1:18">
      <c r="A393" s="20" t="str">
        <f t="shared" si="246"/>
        <v>RESP</v>
      </c>
      <c r="B393" s="20" t="str">
        <f t="shared" si="247"/>
        <v>INIT</v>
      </c>
      <c r="C393" s="20" t="str">
        <f t="shared" si="248"/>
        <v/>
      </c>
      <c r="D393" s="5"/>
      <c r="E393" s="28" t="s">
        <v>819</v>
      </c>
      <c r="F393" s="36" t="s">
        <v>98</v>
      </c>
      <c r="G393" s="30" t="s">
        <v>223</v>
      </c>
      <c r="H393" s="30" t="s">
        <v>218</v>
      </c>
      <c r="I393" s="30" t="s">
        <v>225</v>
      </c>
      <c r="J393" s="30"/>
      <c r="K393" s="30" t="s">
        <v>144</v>
      </c>
      <c r="L393" s="30"/>
      <c r="M393" s="30"/>
      <c r="N393" s="30"/>
      <c r="O393" s="31"/>
      <c r="P393" s="32"/>
      <c r="Q393" s="5"/>
      <c r="R393" s="10"/>
    </row>
    <row r="394" spans="1:18">
      <c r="A394" s="20" t="str">
        <f t="shared" si="246"/>
        <v>RESP</v>
      </c>
      <c r="B394" s="20" t="str">
        <f t="shared" si="247"/>
        <v>INIT</v>
      </c>
      <c r="C394" s="20" t="str">
        <f t="shared" si="248"/>
        <v/>
      </c>
      <c r="D394" s="5"/>
      <c r="E394" s="28" t="s">
        <v>820</v>
      </c>
      <c r="F394" s="36" t="s">
        <v>18</v>
      </c>
      <c r="G394" s="30" t="s">
        <v>223</v>
      </c>
      <c r="H394" s="30" t="s">
        <v>218</v>
      </c>
      <c r="I394" s="30" t="s">
        <v>225</v>
      </c>
      <c r="J394" s="30"/>
      <c r="K394" s="30" t="s">
        <v>194</v>
      </c>
      <c r="L394" s="30"/>
      <c r="M394" s="30"/>
      <c r="N394" s="30"/>
      <c r="O394" s="31"/>
      <c r="P394" s="32"/>
      <c r="Q394" s="5"/>
      <c r="R394" s="10"/>
    </row>
    <row r="395" spans="1:18">
      <c r="A395" s="20" t="str">
        <f t="shared" si="246"/>
        <v>RESP</v>
      </c>
      <c r="B395" s="20" t="str">
        <f t="shared" si="247"/>
        <v>INIT</v>
      </c>
      <c r="C395" s="20" t="str">
        <f t="shared" si="248"/>
        <v/>
      </c>
      <c r="D395" s="5"/>
      <c r="E395" s="28" t="s">
        <v>821</v>
      </c>
      <c r="F395" s="36" t="s">
        <v>1081</v>
      </c>
      <c r="G395" s="30" t="s">
        <v>223</v>
      </c>
      <c r="H395" s="30" t="s">
        <v>218</v>
      </c>
      <c r="I395" s="30" t="s">
        <v>225</v>
      </c>
      <c r="J395" s="30"/>
      <c r="K395" s="30" t="s">
        <v>194</v>
      </c>
      <c r="L395" s="30"/>
      <c r="M395" s="30"/>
      <c r="N395" s="30"/>
      <c r="O395" s="31"/>
      <c r="P395" s="32"/>
      <c r="Q395" s="5"/>
      <c r="R395" s="10"/>
    </row>
    <row r="396" spans="1:18">
      <c r="A396" s="20" t="str">
        <f t="shared" ref="A396" si="249">IF(J396="","RESP","")</f>
        <v>RESP</v>
      </c>
      <c r="B396" s="20" t="str">
        <f t="shared" ref="B396" si="250">IF(M396="","INIT","")</f>
        <v>INIT</v>
      </c>
      <c r="C396" s="20" t="str">
        <f t="shared" ref="C396" si="251">IF(AND(J396="NO",O396=""),"CMTS","")</f>
        <v/>
      </c>
      <c r="D396" s="5"/>
      <c r="E396" s="28" t="s">
        <v>822</v>
      </c>
      <c r="F396" s="36" t="s">
        <v>885</v>
      </c>
      <c r="G396" s="30" t="s">
        <v>223</v>
      </c>
      <c r="H396" s="30" t="s">
        <v>218</v>
      </c>
      <c r="I396" s="30" t="s">
        <v>225</v>
      </c>
      <c r="J396" s="30"/>
      <c r="K396" s="30" t="s">
        <v>144</v>
      </c>
      <c r="L396" s="30"/>
      <c r="M396" s="30"/>
      <c r="N396" s="30"/>
      <c r="O396" s="31"/>
      <c r="P396" s="32"/>
      <c r="Q396" s="5"/>
      <c r="R396" s="10"/>
    </row>
    <row r="397" spans="1:18">
      <c r="A397" s="20" t="str">
        <f t="shared" si="246"/>
        <v>RESP</v>
      </c>
      <c r="B397" s="20" t="str">
        <f t="shared" si="247"/>
        <v>INIT</v>
      </c>
      <c r="C397" s="20" t="str">
        <f t="shared" si="248"/>
        <v/>
      </c>
      <c r="D397" s="5"/>
      <c r="E397" s="28" t="s">
        <v>823</v>
      </c>
      <c r="F397" s="36" t="s">
        <v>902</v>
      </c>
      <c r="G397" s="30" t="s">
        <v>223</v>
      </c>
      <c r="H397" s="30" t="s">
        <v>218</v>
      </c>
      <c r="I397" s="30" t="s">
        <v>218</v>
      </c>
      <c r="J397" s="30"/>
      <c r="K397" s="30" t="s">
        <v>194</v>
      </c>
      <c r="L397" s="30"/>
      <c r="M397" s="30"/>
      <c r="N397" s="30"/>
      <c r="O397" s="31"/>
      <c r="P397" s="32"/>
      <c r="Q397" s="5"/>
      <c r="R397" s="10"/>
    </row>
    <row r="398" spans="1:18">
      <c r="A398" s="20" t="str">
        <f t="shared" si="246"/>
        <v>RESP</v>
      </c>
      <c r="B398" s="20" t="str">
        <f t="shared" si="247"/>
        <v>INIT</v>
      </c>
      <c r="C398" s="20" t="str">
        <f t="shared" si="248"/>
        <v/>
      </c>
      <c r="D398" s="5"/>
      <c r="E398" s="28" t="s">
        <v>824</v>
      </c>
      <c r="F398" s="36" t="s">
        <v>903</v>
      </c>
      <c r="G398" s="30" t="s">
        <v>223</v>
      </c>
      <c r="H398" s="30" t="s">
        <v>218</v>
      </c>
      <c r="I398" s="30" t="s">
        <v>218</v>
      </c>
      <c r="J398" s="30"/>
      <c r="K398" s="30" t="s">
        <v>194</v>
      </c>
      <c r="L398" s="30"/>
      <c r="M398" s="30"/>
      <c r="N398" s="30"/>
      <c r="O398" s="31"/>
      <c r="P398" s="32"/>
      <c r="Q398" s="5"/>
      <c r="R398" s="10"/>
    </row>
    <row r="399" spans="1:18">
      <c r="A399" s="20" t="str">
        <f t="shared" ref="A399:A400" si="252">IF(J399="","RESP","")</f>
        <v>RESP</v>
      </c>
      <c r="B399" s="20" t="str">
        <f t="shared" ref="B399:B400" si="253">IF(M399="","INIT","")</f>
        <v>INIT</v>
      </c>
      <c r="C399" s="20" t="str">
        <f t="shared" ref="C399:C400" si="254">IF(AND(J399="NO",O399=""),"CMTS","")</f>
        <v/>
      </c>
      <c r="D399" s="5"/>
      <c r="E399" s="28" t="s">
        <v>825</v>
      </c>
      <c r="F399" s="36" t="s">
        <v>172</v>
      </c>
      <c r="G399" s="30" t="s">
        <v>223</v>
      </c>
      <c r="H399" s="30" t="s">
        <v>218</v>
      </c>
      <c r="I399" s="30" t="s">
        <v>218</v>
      </c>
      <c r="J399" s="30"/>
      <c r="K399" s="30" t="s">
        <v>194</v>
      </c>
      <c r="L399" s="30"/>
      <c r="M399" s="30"/>
      <c r="N399" s="30"/>
      <c r="O399" s="31"/>
      <c r="P399" s="32"/>
      <c r="Q399" s="5"/>
      <c r="R399" s="10"/>
    </row>
    <row r="400" spans="1:18">
      <c r="A400" s="20" t="str">
        <f t="shared" si="252"/>
        <v>RESP</v>
      </c>
      <c r="B400" s="20" t="str">
        <f t="shared" si="253"/>
        <v>INIT</v>
      </c>
      <c r="C400" s="20" t="str">
        <f t="shared" si="254"/>
        <v/>
      </c>
      <c r="D400" s="5"/>
      <c r="E400" s="28" t="s">
        <v>884</v>
      </c>
      <c r="F400" s="36" t="s">
        <v>173</v>
      </c>
      <c r="G400" s="30" t="s">
        <v>223</v>
      </c>
      <c r="H400" s="30" t="s">
        <v>218</v>
      </c>
      <c r="I400" s="30" t="s">
        <v>218</v>
      </c>
      <c r="J400" s="30"/>
      <c r="K400" s="30" t="s">
        <v>194</v>
      </c>
      <c r="L400" s="30"/>
      <c r="M400" s="30"/>
      <c r="N400" s="30"/>
      <c r="O400" s="31"/>
      <c r="P400" s="32"/>
      <c r="Q400" s="5"/>
      <c r="R400" s="10"/>
    </row>
    <row r="401" spans="1:18">
      <c r="A401" s="20" t="str">
        <f t="shared" ref="A401:A402" si="255">IF(J401="","RESP","")</f>
        <v>RESP</v>
      </c>
      <c r="B401" s="20" t="str">
        <f t="shared" ref="B401:B402" si="256">IF(M401="","INIT","")</f>
        <v>INIT</v>
      </c>
      <c r="C401" s="20" t="str">
        <f t="shared" ref="C401:C402" si="257">IF(AND(J401="NO",O401=""),"CMTS","")</f>
        <v/>
      </c>
      <c r="D401" s="5"/>
      <c r="E401" s="28" t="s">
        <v>904</v>
      </c>
      <c r="F401" s="36" t="s">
        <v>174</v>
      </c>
      <c r="G401" s="30" t="s">
        <v>223</v>
      </c>
      <c r="H401" s="30" t="s">
        <v>218</v>
      </c>
      <c r="I401" s="30" t="s">
        <v>218</v>
      </c>
      <c r="J401" s="30"/>
      <c r="K401" s="30" t="s">
        <v>194</v>
      </c>
      <c r="L401" s="30"/>
      <c r="M401" s="30"/>
      <c r="N401" s="30"/>
      <c r="O401" s="31"/>
      <c r="P401" s="32"/>
      <c r="Q401" s="5"/>
      <c r="R401" s="10"/>
    </row>
    <row r="402" spans="1:18">
      <c r="A402" s="20" t="str">
        <f t="shared" si="255"/>
        <v>RESP</v>
      </c>
      <c r="B402" s="20" t="str">
        <f t="shared" si="256"/>
        <v>INIT</v>
      </c>
      <c r="C402" s="20" t="str">
        <f t="shared" si="257"/>
        <v/>
      </c>
      <c r="D402" s="5"/>
      <c r="E402" s="28" t="s">
        <v>905</v>
      </c>
      <c r="F402" s="36" t="s">
        <v>175</v>
      </c>
      <c r="G402" s="30" t="s">
        <v>223</v>
      </c>
      <c r="H402" s="30" t="s">
        <v>218</v>
      </c>
      <c r="I402" s="30" t="s">
        <v>218</v>
      </c>
      <c r="J402" s="30"/>
      <c r="K402" s="30" t="s">
        <v>194</v>
      </c>
      <c r="L402" s="30"/>
      <c r="M402" s="30"/>
      <c r="N402" s="30"/>
      <c r="O402" s="31"/>
      <c r="P402" s="32"/>
      <c r="Q402" s="5"/>
      <c r="R402" s="10"/>
    </row>
    <row r="403" spans="1:18">
      <c r="A403" s="20" t="str">
        <f t="shared" ref="A403" si="258">IF(J403="","RESP","")</f>
        <v>RESP</v>
      </c>
      <c r="B403" s="20" t="str">
        <f t="shared" ref="B403" si="259">IF(M403="","INIT","")</f>
        <v>INIT</v>
      </c>
      <c r="C403" s="20" t="str">
        <f t="shared" ref="C403" si="260">IF(AND(J403="NO",O403=""),"CMTS","")</f>
        <v/>
      </c>
      <c r="D403" s="5"/>
      <c r="E403" s="28" t="s">
        <v>1080</v>
      </c>
      <c r="F403" s="36" t="s">
        <v>1082</v>
      </c>
      <c r="G403" s="30" t="s">
        <v>222</v>
      </c>
      <c r="H403" s="30" t="s">
        <v>218</v>
      </c>
      <c r="I403" s="30" t="s">
        <v>218</v>
      </c>
      <c r="J403" s="30"/>
      <c r="K403" s="30" t="s">
        <v>194</v>
      </c>
      <c r="L403" s="30"/>
      <c r="M403" s="30"/>
      <c r="N403" s="30"/>
      <c r="O403" s="31"/>
      <c r="P403" s="32"/>
      <c r="Q403" s="5"/>
      <c r="R403" s="10"/>
    </row>
    <row r="404" spans="1:18">
      <c r="A404" s="20" t="str">
        <f t="shared" ref="A404" si="261">IF(J404="","RESP","")</f>
        <v>RESP</v>
      </c>
      <c r="B404" s="20" t="str">
        <f t="shared" ref="B404" si="262">IF(M404="","INIT","")</f>
        <v>INIT</v>
      </c>
      <c r="C404" s="20" t="str">
        <f t="shared" ref="C404" si="263">IF(AND(J404="NO",O404=""),"CMTS","")</f>
        <v/>
      </c>
      <c r="D404" s="5"/>
      <c r="E404" s="28" t="s">
        <v>1080</v>
      </c>
      <c r="F404" s="36" t="s">
        <v>1083</v>
      </c>
      <c r="G404" s="30" t="s">
        <v>222</v>
      </c>
      <c r="H404" s="30" t="s">
        <v>218</v>
      </c>
      <c r="I404" s="30" t="s">
        <v>218</v>
      </c>
      <c r="J404" s="30"/>
      <c r="K404" s="30" t="s">
        <v>194</v>
      </c>
      <c r="L404" s="30"/>
      <c r="M404" s="30"/>
      <c r="N404" s="30"/>
      <c r="O404" s="31"/>
      <c r="P404" s="32"/>
      <c r="Q404" s="5"/>
      <c r="R404" s="10"/>
    </row>
    <row r="407" spans="1:18" ht="27.5">
      <c r="A407" s="12" t="s">
        <v>210</v>
      </c>
      <c r="B407" s="13"/>
      <c r="C407" s="13"/>
      <c r="D407" s="2"/>
      <c r="E407" s="22" t="s">
        <v>826</v>
      </c>
      <c r="F407" s="23"/>
      <c r="G407" s="40" t="s">
        <v>214</v>
      </c>
      <c r="H407" s="40" t="s">
        <v>215</v>
      </c>
      <c r="I407" s="40" t="s">
        <v>219</v>
      </c>
      <c r="J407" s="40" t="s">
        <v>211</v>
      </c>
      <c r="K407" s="40" t="s">
        <v>216</v>
      </c>
      <c r="L407" s="40" t="s">
        <v>217</v>
      </c>
      <c r="M407" s="40" t="s">
        <v>220</v>
      </c>
      <c r="N407" s="40" t="s">
        <v>221</v>
      </c>
      <c r="O407" s="40" t="s">
        <v>208</v>
      </c>
      <c r="P407" s="41" t="s">
        <v>249</v>
      </c>
      <c r="Q407" s="2"/>
      <c r="R407" s="9" t="s">
        <v>213</v>
      </c>
    </row>
    <row r="408" spans="1:18" ht="15.5" customHeight="1">
      <c r="A408" s="20" t="str">
        <f t="shared" ref="A408:A412" si="264">IF(J408="","RESP","")</f>
        <v>RESP</v>
      </c>
      <c r="B408" s="20" t="str">
        <f t="shared" ref="B408:B412" si="265">IF(M408="","INIT","")</f>
        <v>INIT</v>
      </c>
      <c r="C408" s="20" t="str">
        <f t="shared" ref="C408:C412" si="266">IF(AND(J408="NO",O408=""),"CMTS","")</f>
        <v/>
      </c>
      <c r="D408" s="5"/>
      <c r="E408" s="28" t="s">
        <v>739</v>
      </c>
      <c r="F408" s="33" t="s">
        <v>640</v>
      </c>
      <c r="G408" s="30" t="s">
        <v>223</v>
      </c>
      <c r="H408" s="30" t="s">
        <v>218</v>
      </c>
      <c r="I408" s="30" t="s">
        <v>218</v>
      </c>
      <c r="J408" s="30"/>
      <c r="K408" s="30" t="s">
        <v>144</v>
      </c>
      <c r="L408" s="30"/>
      <c r="M408" s="30"/>
      <c r="N408" s="30"/>
      <c r="O408" s="31"/>
      <c r="P408" s="32"/>
      <c r="Q408" s="5"/>
      <c r="R408" s="10" t="s">
        <v>647</v>
      </c>
    </row>
    <row r="409" spans="1:18" ht="19" customHeight="1">
      <c r="A409" s="20" t="str">
        <f t="shared" si="264"/>
        <v>RESP</v>
      </c>
      <c r="B409" s="20" t="str">
        <f t="shared" si="265"/>
        <v>INIT</v>
      </c>
      <c r="C409" s="20" t="str">
        <f t="shared" si="266"/>
        <v/>
      </c>
      <c r="D409" s="5"/>
      <c r="E409" s="28" t="s">
        <v>740</v>
      </c>
      <c r="F409" s="33" t="s">
        <v>641</v>
      </c>
      <c r="G409" s="30" t="s">
        <v>223</v>
      </c>
      <c r="H409" s="30" t="s">
        <v>218</v>
      </c>
      <c r="I409" s="30" t="s">
        <v>218</v>
      </c>
      <c r="J409" s="30"/>
      <c r="K409" s="30" t="s">
        <v>194</v>
      </c>
      <c r="L409" s="30"/>
      <c r="M409" s="30"/>
      <c r="N409" s="30"/>
      <c r="O409" s="31"/>
      <c r="P409" s="32"/>
      <c r="Q409" s="5"/>
      <c r="R409" s="10" t="s">
        <v>647</v>
      </c>
    </row>
    <row r="410" spans="1:18">
      <c r="A410" s="20" t="str">
        <f t="shared" si="264"/>
        <v>RESP</v>
      </c>
      <c r="B410" s="20" t="str">
        <f t="shared" si="265"/>
        <v>INIT</v>
      </c>
      <c r="C410" s="20" t="str">
        <f t="shared" si="266"/>
        <v/>
      </c>
      <c r="D410" s="5"/>
      <c r="E410" s="28" t="s">
        <v>741</v>
      </c>
      <c r="F410" s="33" t="s">
        <v>642</v>
      </c>
      <c r="G410" s="30" t="s">
        <v>223</v>
      </c>
      <c r="H410" s="30" t="s">
        <v>218</v>
      </c>
      <c r="I410" s="30" t="s">
        <v>218</v>
      </c>
      <c r="J410" s="30"/>
      <c r="K410" s="30" t="s">
        <v>194</v>
      </c>
      <c r="L410" s="30"/>
      <c r="M410" s="30"/>
      <c r="N410" s="30"/>
      <c r="O410" s="31"/>
      <c r="P410" s="32"/>
      <c r="Q410" s="5"/>
      <c r="R410" s="10"/>
    </row>
    <row r="411" spans="1:18" ht="26.5">
      <c r="A411" s="20" t="str">
        <f t="shared" si="264"/>
        <v>RESP</v>
      </c>
      <c r="B411" s="20" t="str">
        <f t="shared" si="265"/>
        <v>INIT</v>
      </c>
      <c r="C411" s="20" t="str">
        <f t="shared" si="266"/>
        <v/>
      </c>
      <c r="D411" s="5"/>
      <c r="E411" s="28" t="s">
        <v>742</v>
      </c>
      <c r="F411" s="33" t="s">
        <v>643</v>
      </c>
      <c r="G411" s="30" t="s">
        <v>223</v>
      </c>
      <c r="H411" s="30" t="s">
        <v>218</v>
      </c>
      <c r="I411" s="30" t="s">
        <v>218</v>
      </c>
      <c r="J411" s="30"/>
      <c r="K411" s="30" t="s">
        <v>144</v>
      </c>
      <c r="L411" s="30"/>
      <c r="M411" s="30"/>
      <c r="N411" s="30"/>
      <c r="O411" s="31"/>
      <c r="P411" s="32"/>
      <c r="Q411" s="5"/>
      <c r="R411" s="10"/>
    </row>
    <row r="412" spans="1:18">
      <c r="A412" s="20" t="str">
        <f t="shared" si="264"/>
        <v>RESP</v>
      </c>
      <c r="B412" s="20" t="str">
        <f t="shared" si="265"/>
        <v>INIT</v>
      </c>
      <c r="C412" s="20" t="str">
        <f t="shared" si="266"/>
        <v/>
      </c>
      <c r="D412" s="5"/>
      <c r="E412" s="28" t="s">
        <v>743</v>
      </c>
      <c r="F412" s="33" t="s">
        <v>644</v>
      </c>
      <c r="G412" s="30" t="s">
        <v>223</v>
      </c>
      <c r="H412" s="30" t="s">
        <v>218</v>
      </c>
      <c r="I412" s="30" t="s">
        <v>218</v>
      </c>
      <c r="J412" s="30"/>
      <c r="K412" s="30" t="s">
        <v>194</v>
      </c>
      <c r="L412" s="30"/>
      <c r="M412" s="30"/>
      <c r="N412" s="30"/>
      <c r="O412" s="31"/>
      <c r="P412" s="32"/>
      <c r="Q412" s="5"/>
      <c r="R412" s="10"/>
    </row>
    <row r="413" spans="1:18">
      <c r="A413" s="20" t="str">
        <f t="shared" ref="A413:A414" si="267">IF(J413="","RESP","")</f>
        <v>RESP</v>
      </c>
      <c r="B413" s="20" t="str">
        <f t="shared" ref="B413:B414" si="268">IF(M413="","INIT","")</f>
        <v>INIT</v>
      </c>
      <c r="C413" s="20" t="str">
        <f t="shared" ref="C413:C414" si="269">IF(AND(J413="NO",O413=""),"CMTS","")</f>
        <v/>
      </c>
      <c r="D413" s="5"/>
      <c r="E413" s="28" t="s">
        <v>744</v>
      </c>
      <c r="F413" s="33" t="s">
        <v>645</v>
      </c>
      <c r="G413" s="30" t="s">
        <v>223</v>
      </c>
      <c r="H413" s="30" t="s">
        <v>218</v>
      </c>
      <c r="I413" s="30" t="s">
        <v>218</v>
      </c>
      <c r="J413" s="30"/>
      <c r="K413" s="30" t="s">
        <v>194</v>
      </c>
      <c r="L413" s="30"/>
      <c r="M413" s="30"/>
      <c r="N413" s="30"/>
      <c r="O413" s="31"/>
      <c r="P413" s="32"/>
      <c r="Q413" s="5"/>
      <c r="R413" s="10"/>
    </row>
    <row r="414" spans="1:18" ht="19" customHeight="1">
      <c r="A414" s="20" t="str">
        <f t="shared" si="267"/>
        <v>RESP</v>
      </c>
      <c r="B414" s="20" t="str">
        <f t="shared" si="268"/>
        <v>INIT</v>
      </c>
      <c r="C414" s="20" t="str">
        <f t="shared" si="269"/>
        <v/>
      </c>
      <c r="D414" s="5"/>
      <c r="E414" s="28" t="s">
        <v>745</v>
      </c>
      <c r="F414" s="33" t="s">
        <v>646</v>
      </c>
      <c r="G414" s="30" t="s">
        <v>223</v>
      </c>
      <c r="H414" s="30" t="s">
        <v>218</v>
      </c>
      <c r="I414" s="30" t="s">
        <v>218</v>
      </c>
      <c r="J414" s="30"/>
      <c r="K414" s="30" t="s">
        <v>194</v>
      </c>
      <c r="L414" s="30"/>
      <c r="M414" s="30"/>
      <c r="N414" s="30"/>
      <c r="O414" s="31"/>
      <c r="P414" s="32"/>
      <c r="Q414" s="5"/>
      <c r="R414" s="10" t="s">
        <v>647</v>
      </c>
    </row>
    <row r="415" spans="1:18">
      <c r="A415" s="20" t="e">
        <f>IF(#REF!="","RESP","")</f>
        <v>#REF!</v>
      </c>
      <c r="B415" s="20" t="e">
        <f>IF(#REF!="","INIT","")</f>
        <v>#REF!</v>
      </c>
      <c r="C415" s="20" t="e">
        <f>IF(AND(#REF!="NO",#REF!=""),"CMTS","")</f>
        <v>#REF!</v>
      </c>
      <c r="D415" s="5"/>
      <c r="E415" s="28" t="s">
        <v>746</v>
      </c>
      <c r="F415" s="62" t="s">
        <v>100</v>
      </c>
      <c r="G415" s="30" t="s">
        <v>223</v>
      </c>
      <c r="H415" s="30" t="s">
        <v>218</v>
      </c>
      <c r="I415" s="30" t="s">
        <v>218</v>
      </c>
      <c r="J415" s="30"/>
      <c r="K415" s="30" t="s">
        <v>194</v>
      </c>
      <c r="L415" s="30"/>
      <c r="M415" s="30"/>
      <c r="N415" s="30"/>
      <c r="O415" s="31"/>
      <c r="P415" s="32"/>
      <c r="Q415" s="5"/>
      <c r="R415" s="10"/>
    </row>
    <row r="416" spans="1:18">
      <c r="A416" s="4"/>
      <c r="B416" s="4"/>
      <c r="C416" s="4"/>
      <c r="D416" s="5"/>
      <c r="E416" s="61"/>
    </row>
    <row r="418" spans="1:18" ht="27.5">
      <c r="A418" s="12" t="s">
        <v>210</v>
      </c>
      <c r="B418" s="13"/>
      <c r="C418" s="13"/>
      <c r="D418" s="2"/>
      <c r="E418" s="22" t="s">
        <v>827</v>
      </c>
      <c r="F418" s="23"/>
      <c r="G418" s="40" t="s">
        <v>214</v>
      </c>
      <c r="H418" s="40" t="s">
        <v>215</v>
      </c>
      <c r="I418" s="40" t="s">
        <v>219</v>
      </c>
      <c r="J418" s="40" t="s">
        <v>211</v>
      </c>
      <c r="K418" s="40" t="s">
        <v>216</v>
      </c>
      <c r="L418" s="40" t="s">
        <v>217</v>
      </c>
      <c r="M418" s="40" t="s">
        <v>220</v>
      </c>
      <c r="N418" s="40" t="s">
        <v>221</v>
      </c>
      <c r="O418" s="40" t="s">
        <v>208</v>
      </c>
      <c r="P418" s="41" t="s">
        <v>249</v>
      </c>
      <c r="Q418" s="2"/>
      <c r="R418" s="9" t="s">
        <v>213</v>
      </c>
    </row>
    <row r="419" spans="1:18">
      <c r="A419" s="20" t="str">
        <f t="shared" ref="A419:A425" si="270">IF(J419="","RESP","")</f>
        <v>RESP</v>
      </c>
      <c r="B419" s="20" t="str">
        <f t="shared" ref="B419:B425" si="271">IF(M419="","INIT","")</f>
        <v>INIT</v>
      </c>
      <c r="C419" s="20" t="str">
        <f t="shared" ref="C419:C425" si="272">IF(AND(J419="NO",O419=""),"CMTS","")</f>
        <v/>
      </c>
      <c r="D419" s="5"/>
      <c r="E419" s="28" t="s">
        <v>828</v>
      </c>
      <c r="F419" s="36" t="s">
        <v>99</v>
      </c>
      <c r="G419" s="30" t="s">
        <v>223</v>
      </c>
      <c r="H419" s="30" t="s">
        <v>218</v>
      </c>
      <c r="I419" s="30" t="s">
        <v>218</v>
      </c>
      <c r="J419" s="30"/>
      <c r="K419" s="30" t="s">
        <v>144</v>
      </c>
      <c r="L419" s="30"/>
      <c r="M419" s="30"/>
      <c r="N419" s="30"/>
      <c r="O419" s="31"/>
      <c r="P419" s="32"/>
      <c r="Q419" s="5"/>
      <c r="R419" s="10"/>
    </row>
    <row r="420" spans="1:18">
      <c r="A420" s="20" t="str">
        <f t="shared" si="270"/>
        <v>RESP</v>
      </c>
      <c r="B420" s="20" t="str">
        <f t="shared" si="271"/>
        <v>INIT</v>
      </c>
      <c r="C420" s="20" t="str">
        <f t="shared" si="272"/>
        <v/>
      </c>
      <c r="D420" s="5"/>
      <c r="E420" s="28" t="s">
        <v>829</v>
      </c>
      <c r="F420" s="36" t="s">
        <v>311</v>
      </c>
      <c r="G420" s="30" t="s">
        <v>223</v>
      </c>
      <c r="H420" s="30" t="s">
        <v>218</v>
      </c>
      <c r="I420" s="30" t="s">
        <v>218</v>
      </c>
      <c r="J420" s="30"/>
      <c r="K420" s="30" t="s">
        <v>144</v>
      </c>
      <c r="L420" s="30"/>
      <c r="M420" s="30"/>
      <c r="N420" s="30"/>
      <c r="O420" s="31"/>
      <c r="P420" s="32"/>
      <c r="Q420" s="5"/>
      <c r="R420" s="10"/>
    </row>
    <row r="421" spans="1:18">
      <c r="A421" s="20" t="str">
        <f t="shared" si="270"/>
        <v>RESP</v>
      </c>
      <c r="B421" s="20" t="str">
        <f t="shared" si="271"/>
        <v>INIT</v>
      </c>
      <c r="C421" s="20" t="str">
        <f t="shared" si="272"/>
        <v/>
      </c>
      <c r="D421" s="5"/>
      <c r="E421" s="28" t="s">
        <v>830</v>
      </c>
      <c r="F421" s="36" t="s">
        <v>312</v>
      </c>
      <c r="G421" s="30" t="s">
        <v>223</v>
      </c>
      <c r="H421" s="30" t="s">
        <v>218</v>
      </c>
      <c r="I421" s="30" t="s">
        <v>218</v>
      </c>
      <c r="J421" s="30"/>
      <c r="K421" s="30" t="s">
        <v>194</v>
      </c>
      <c r="L421" s="30"/>
      <c r="M421" s="30"/>
      <c r="N421" s="30"/>
      <c r="O421" s="31"/>
      <c r="P421" s="32"/>
      <c r="Q421" s="5"/>
      <c r="R421" s="10"/>
    </row>
    <row r="422" spans="1:18">
      <c r="A422" s="20" t="str">
        <f t="shared" si="270"/>
        <v>RESP</v>
      </c>
      <c r="B422" s="20" t="str">
        <f t="shared" si="271"/>
        <v>INIT</v>
      </c>
      <c r="C422" s="20" t="str">
        <f t="shared" si="272"/>
        <v/>
      </c>
      <c r="D422" s="5"/>
      <c r="E422" s="28" t="s">
        <v>831</v>
      </c>
      <c r="F422" s="36" t="s">
        <v>101</v>
      </c>
      <c r="G422" s="30" t="s">
        <v>223</v>
      </c>
      <c r="H422" s="30" t="s">
        <v>218</v>
      </c>
      <c r="I422" s="30" t="s">
        <v>218</v>
      </c>
      <c r="J422" s="30"/>
      <c r="K422" s="30" t="s">
        <v>194</v>
      </c>
      <c r="L422" s="30"/>
      <c r="M422" s="30"/>
      <c r="N422" s="30"/>
      <c r="O422" s="31"/>
      <c r="P422" s="32"/>
      <c r="Q422" s="5"/>
      <c r="R422" s="10"/>
    </row>
    <row r="423" spans="1:18">
      <c r="A423" s="20" t="str">
        <f t="shared" si="270"/>
        <v>RESP</v>
      </c>
      <c r="B423" s="20" t="str">
        <f t="shared" si="271"/>
        <v>INIT</v>
      </c>
      <c r="C423" s="20" t="str">
        <f t="shared" si="272"/>
        <v/>
      </c>
      <c r="D423" s="5"/>
      <c r="E423" s="28" t="s">
        <v>832</v>
      </c>
      <c r="F423" s="36" t="s">
        <v>102</v>
      </c>
      <c r="G423" s="30" t="s">
        <v>223</v>
      </c>
      <c r="H423" s="30" t="s">
        <v>218</v>
      </c>
      <c r="I423" s="30" t="s">
        <v>218</v>
      </c>
      <c r="J423" s="30"/>
      <c r="K423" s="30" t="s">
        <v>194</v>
      </c>
      <c r="L423" s="30"/>
      <c r="M423" s="30"/>
      <c r="N423" s="30"/>
      <c r="O423" s="31"/>
      <c r="P423" s="32"/>
      <c r="Q423" s="5"/>
      <c r="R423" s="10"/>
    </row>
    <row r="424" spans="1:18">
      <c r="A424" s="20" t="str">
        <f t="shared" si="270"/>
        <v>RESP</v>
      </c>
      <c r="B424" s="20" t="str">
        <f t="shared" si="271"/>
        <v>INIT</v>
      </c>
      <c r="C424" s="20" t="str">
        <f t="shared" si="272"/>
        <v/>
      </c>
      <c r="D424" s="5"/>
      <c r="E424" s="28" t="s">
        <v>833</v>
      </c>
      <c r="F424" s="36" t="s">
        <v>103</v>
      </c>
      <c r="G424" s="30" t="s">
        <v>223</v>
      </c>
      <c r="H424" s="30" t="s">
        <v>218</v>
      </c>
      <c r="I424" s="30" t="s">
        <v>218</v>
      </c>
      <c r="J424" s="30"/>
      <c r="K424" s="30" t="s">
        <v>194</v>
      </c>
      <c r="L424" s="30"/>
      <c r="M424" s="30"/>
      <c r="N424" s="30"/>
      <c r="O424" s="31"/>
      <c r="P424" s="32"/>
      <c r="Q424" s="5"/>
      <c r="R424" s="10"/>
    </row>
    <row r="425" spans="1:18">
      <c r="A425" s="20" t="str">
        <f t="shared" si="270"/>
        <v>RESP</v>
      </c>
      <c r="B425" s="20" t="str">
        <f t="shared" si="271"/>
        <v>INIT</v>
      </c>
      <c r="C425" s="20" t="str">
        <f t="shared" si="272"/>
        <v/>
      </c>
      <c r="D425" s="5"/>
      <c r="E425" s="28" t="s">
        <v>834</v>
      </c>
      <c r="F425" s="36" t="s">
        <v>202</v>
      </c>
      <c r="G425" s="30" t="s">
        <v>223</v>
      </c>
      <c r="H425" s="30" t="s">
        <v>218</v>
      </c>
      <c r="I425" s="30" t="s">
        <v>218</v>
      </c>
      <c r="J425" s="30"/>
      <c r="K425" s="30" t="s">
        <v>144</v>
      </c>
      <c r="L425" s="30"/>
      <c r="M425" s="30"/>
      <c r="N425" s="30"/>
      <c r="O425" s="31"/>
      <c r="P425" s="32"/>
      <c r="Q425" s="5"/>
      <c r="R425" s="10"/>
    </row>
    <row r="428" spans="1:18" ht="27.5">
      <c r="A428" s="12" t="s">
        <v>210</v>
      </c>
      <c r="B428" s="13"/>
      <c r="C428" s="13"/>
      <c r="D428" s="2"/>
      <c r="E428" s="22" t="s">
        <v>835</v>
      </c>
      <c r="F428" s="23"/>
      <c r="G428" s="40" t="s">
        <v>214</v>
      </c>
      <c r="H428" s="40" t="s">
        <v>215</v>
      </c>
      <c r="I428" s="40" t="s">
        <v>219</v>
      </c>
      <c r="J428" s="40" t="s">
        <v>211</v>
      </c>
      <c r="K428" s="40" t="s">
        <v>216</v>
      </c>
      <c r="L428" s="40" t="s">
        <v>217</v>
      </c>
      <c r="M428" s="40" t="s">
        <v>220</v>
      </c>
      <c r="N428" s="40" t="s">
        <v>221</v>
      </c>
      <c r="O428" s="40" t="s">
        <v>208</v>
      </c>
      <c r="P428" s="41" t="s">
        <v>249</v>
      </c>
      <c r="Q428" s="2"/>
      <c r="R428" s="9" t="s">
        <v>213</v>
      </c>
    </row>
    <row r="429" spans="1:18">
      <c r="A429" s="20" t="str">
        <f t="shared" ref="A429:A434" si="273">IF(J429="","RESP","")</f>
        <v>RESP</v>
      </c>
      <c r="B429" s="20" t="str">
        <f t="shared" ref="B429:B434" si="274">IF(M429="","INIT","")</f>
        <v>INIT</v>
      </c>
      <c r="C429" s="20" t="str">
        <f t="shared" ref="C429:C434" si="275">IF(AND(J429="NO",O429=""),"CMTS","")</f>
        <v/>
      </c>
      <c r="D429" s="5"/>
      <c r="E429" s="28" t="s">
        <v>836</v>
      </c>
      <c r="F429" s="36" t="s">
        <v>124</v>
      </c>
      <c r="G429" s="30" t="s">
        <v>222</v>
      </c>
      <c r="H429" s="30" t="s">
        <v>218</v>
      </c>
      <c r="I429" s="30" t="s">
        <v>218</v>
      </c>
      <c r="J429" s="30"/>
      <c r="K429" s="30" t="s">
        <v>144</v>
      </c>
      <c r="L429" s="30"/>
      <c r="M429" s="30"/>
      <c r="N429" s="30"/>
      <c r="O429" s="31"/>
      <c r="P429" s="32"/>
      <c r="Q429" s="5"/>
      <c r="R429" s="10"/>
    </row>
    <row r="430" spans="1:18">
      <c r="A430" s="20" t="str">
        <f t="shared" si="273"/>
        <v>RESP</v>
      </c>
      <c r="B430" s="20" t="str">
        <f t="shared" si="274"/>
        <v>INIT</v>
      </c>
      <c r="C430" s="20" t="str">
        <f t="shared" si="275"/>
        <v/>
      </c>
      <c r="D430" s="5"/>
      <c r="E430" s="28" t="s">
        <v>837</v>
      </c>
      <c r="F430" s="36" t="s">
        <v>125</v>
      </c>
      <c r="G430" s="30" t="s">
        <v>222</v>
      </c>
      <c r="H430" s="30" t="s">
        <v>218</v>
      </c>
      <c r="I430" s="30" t="s">
        <v>218</v>
      </c>
      <c r="J430" s="30"/>
      <c r="K430" s="30" t="s">
        <v>144</v>
      </c>
      <c r="L430" s="30"/>
      <c r="M430" s="30"/>
      <c r="N430" s="30"/>
      <c r="O430" s="31"/>
      <c r="P430" s="32"/>
      <c r="Q430" s="5"/>
      <c r="R430" s="10"/>
    </row>
    <row r="431" spans="1:18">
      <c r="A431" s="20" t="str">
        <f t="shared" si="273"/>
        <v>RESP</v>
      </c>
      <c r="B431" s="20" t="str">
        <f t="shared" si="274"/>
        <v>INIT</v>
      </c>
      <c r="C431" s="20" t="str">
        <f t="shared" si="275"/>
        <v/>
      </c>
      <c r="D431" s="5"/>
      <c r="E431" s="28" t="s">
        <v>838</v>
      </c>
      <c r="F431" s="36" t="s">
        <v>126</v>
      </c>
      <c r="G431" s="30" t="s">
        <v>222</v>
      </c>
      <c r="H431" s="30" t="s">
        <v>218</v>
      </c>
      <c r="I431" s="30" t="s">
        <v>218</v>
      </c>
      <c r="J431" s="30"/>
      <c r="K431" s="30" t="s">
        <v>144</v>
      </c>
      <c r="L431" s="30"/>
      <c r="M431" s="30"/>
      <c r="N431" s="30"/>
      <c r="O431" s="31"/>
      <c r="P431" s="32"/>
      <c r="Q431" s="5"/>
      <c r="R431" s="10"/>
    </row>
    <row r="432" spans="1:18">
      <c r="A432" s="20" t="str">
        <f t="shared" si="273"/>
        <v>RESP</v>
      </c>
      <c r="B432" s="20" t="str">
        <f t="shared" si="274"/>
        <v>INIT</v>
      </c>
      <c r="C432" s="20" t="str">
        <f t="shared" si="275"/>
        <v/>
      </c>
      <c r="D432" s="5"/>
      <c r="E432" s="28" t="s">
        <v>839</v>
      </c>
      <c r="F432" s="36" t="s">
        <v>127</v>
      </c>
      <c r="G432" s="30" t="s">
        <v>222</v>
      </c>
      <c r="H432" s="30" t="s">
        <v>218</v>
      </c>
      <c r="I432" s="30" t="s">
        <v>218</v>
      </c>
      <c r="J432" s="30"/>
      <c r="K432" s="30" t="s">
        <v>144</v>
      </c>
      <c r="L432" s="30"/>
      <c r="M432" s="30"/>
      <c r="N432" s="30"/>
      <c r="O432" s="31"/>
      <c r="P432" s="32"/>
      <c r="Q432" s="5"/>
      <c r="R432" s="10"/>
    </row>
    <row r="433" spans="1:18">
      <c r="A433" s="20" t="str">
        <f t="shared" si="273"/>
        <v>RESP</v>
      </c>
      <c r="B433" s="20" t="str">
        <f t="shared" si="274"/>
        <v>INIT</v>
      </c>
      <c r="C433" s="20" t="str">
        <f t="shared" si="275"/>
        <v/>
      </c>
      <c r="D433" s="5"/>
      <c r="E433" s="28" t="s">
        <v>840</v>
      </c>
      <c r="F433" s="36" t="s">
        <v>128</v>
      </c>
      <c r="G433" s="30" t="s">
        <v>222</v>
      </c>
      <c r="H433" s="30" t="s">
        <v>218</v>
      </c>
      <c r="I433" s="30" t="s">
        <v>218</v>
      </c>
      <c r="J433" s="30"/>
      <c r="K433" s="30" t="s">
        <v>144</v>
      </c>
      <c r="L433" s="30"/>
      <c r="M433" s="30"/>
      <c r="N433" s="30"/>
      <c r="O433" s="31"/>
      <c r="P433" s="32"/>
      <c r="Q433" s="5"/>
      <c r="R433" s="10"/>
    </row>
    <row r="434" spans="1:18" ht="39.5">
      <c r="A434" s="20" t="str">
        <f t="shared" si="273"/>
        <v>RESP</v>
      </c>
      <c r="B434" s="20" t="str">
        <f t="shared" si="274"/>
        <v>INIT</v>
      </c>
      <c r="C434" s="20" t="str">
        <f t="shared" si="275"/>
        <v/>
      </c>
      <c r="D434" s="5"/>
      <c r="E434" s="28" t="s">
        <v>841</v>
      </c>
      <c r="F434" s="36" t="s">
        <v>181</v>
      </c>
      <c r="G434" s="30" t="s">
        <v>222</v>
      </c>
      <c r="H434" s="30" t="s">
        <v>218</v>
      </c>
      <c r="I434" s="30" t="s">
        <v>218</v>
      </c>
      <c r="J434" s="30"/>
      <c r="K434" s="30" t="s">
        <v>144</v>
      </c>
      <c r="L434" s="30"/>
      <c r="M434" s="30"/>
      <c r="N434" s="30"/>
      <c r="O434" s="31"/>
      <c r="P434" s="32"/>
      <c r="Q434" s="5"/>
      <c r="R434" s="10"/>
    </row>
    <row r="437" spans="1:18" ht="27.5">
      <c r="A437" s="12" t="s">
        <v>210</v>
      </c>
      <c r="B437" s="13"/>
      <c r="C437" s="13"/>
      <c r="D437" s="2"/>
      <c r="E437" s="22" t="s">
        <v>842</v>
      </c>
      <c r="F437" s="23"/>
      <c r="G437" s="40" t="s">
        <v>214</v>
      </c>
      <c r="H437" s="40" t="s">
        <v>215</v>
      </c>
      <c r="I437" s="40" t="s">
        <v>219</v>
      </c>
      <c r="J437" s="40" t="s">
        <v>211</v>
      </c>
      <c r="K437" s="40" t="s">
        <v>216</v>
      </c>
      <c r="L437" s="40" t="s">
        <v>217</v>
      </c>
      <c r="M437" s="40" t="s">
        <v>220</v>
      </c>
      <c r="N437" s="40" t="s">
        <v>221</v>
      </c>
      <c r="O437" s="40" t="s">
        <v>208</v>
      </c>
      <c r="P437" s="41" t="s">
        <v>249</v>
      </c>
      <c r="Q437" s="2"/>
      <c r="R437" s="9" t="s">
        <v>213</v>
      </c>
    </row>
    <row r="438" spans="1:18">
      <c r="A438" s="20" t="str">
        <f t="shared" ref="A438:A443" si="276">IF(J438="","RESP","")</f>
        <v>RESP</v>
      </c>
      <c r="B438" s="20" t="str">
        <f t="shared" ref="B438:B443" si="277">IF(M438="","INIT","")</f>
        <v>INIT</v>
      </c>
      <c r="C438" s="20" t="str">
        <f t="shared" ref="C438:C443" si="278">IF(AND(J438="NO",O438=""),"CMTS","")</f>
        <v/>
      </c>
      <c r="D438" s="5"/>
      <c r="E438" s="28" t="s">
        <v>843</v>
      </c>
      <c r="F438" s="36" t="s">
        <v>122</v>
      </c>
      <c r="G438" s="30" t="s">
        <v>222</v>
      </c>
      <c r="H438" s="30" t="s">
        <v>218</v>
      </c>
      <c r="I438" s="30" t="s">
        <v>218</v>
      </c>
      <c r="J438" s="30"/>
      <c r="K438" s="30" t="s">
        <v>194</v>
      </c>
      <c r="L438" s="30"/>
      <c r="M438" s="30"/>
      <c r="N438" s="30"/>
      <c r="O438" s="31"/>
      <c r="P438" s="32"/>
      <c r="Q438" s="5"/>
      <c r="R438" s="10"/>
    </row>
    <row r="439" spans="1:18">
      <c r="A439" s="20" t="str">
        <f t="shared" si="276"/>
        <v>RESP</v>
      </c>
      <c r="B439" s="20" t="str">
        <f t="shared" si="277"/>
        <v>INIT</v>
      </c>
      <c r="C439" s="20" t="str">
        <f t="shared" si="278"/>
        <v/>
      </c>
      <c r="D439" s="5"/>
      <c r="E439" s="28" t="s">
        <v>844</v>
      </c>
      <c r="F439" s="36" t="s">
        <v>153</v>
      </c>
      <c r="G439" s="30" t="s">
        <v>222</v>
      </c>
      <c r="H439" s="30" t="s">
        <v>218</v>
      </c>
      <c r="I439" s="30" t="s">
        <v>218</v>
      </c>
      <c r="J439" s="30"/>
      <c r="K439" s="30" t="s">
        <v>194</v>
      </c>
      <c r="L439" s="30"/>
      <c r="M439" s="30"/>
      <c r="N439" s="30"/>
      <c r="O439" s="31"/>
      <c r="P439" s="32"/>
      <c r="Q439" s="5"/>
      <c r="R439" s="10"/>
    </row>
    <row r="440" spans="1:18" ht="26.5">
      <c r="A440" s="20" t="str">
        <f t="shared" si="276"/>
        <v>RESP</v>
      </c>
      <c r="B440" s="20" t="str">
        <f t="shared" si="277"/>
        <v>INIT</v>
      </c>
      <c r="C440" s="20" t="str">
        <f t="shared" si="278"/>
        <v/>
      </c>
      <c r="D440" s="5"/>
      <c r="E440" s="28" t="s">
        <v>845</v>
      </c>
      <c r="F440" s="36" t="s">
        <v>154</v>
      </c>
      <c r="G440" s="30" t="s">
        <v>222</v>
      </c>
      <c r="H440" s="30" t="s">
        <v>218</v>
      </c>
      <c r="I440" s="30" t="s">
        <v>218</v>
      </c>
      <c r="J440" s="30"/>
      <c r="K440" s="30" t="s">
        <v>194</v>
      </c>
      <c r="L440" s="30"/>
      <c r="M440" s="30"/>
      <c r="N440" s="30"/>
      <c r="O440" s="31"/>
      <c r="P440" s="32"/>
      <c r="Q440" s="5"/>
      <c r="R440" s="10"/>
    </row>
    <row r="441" spans="1:18">
      <c r="A441" s="20" t="str">
        <f t="shared" si="276"/>
        <v>RESP</v>
      </c>
      <c r="B441" s="20" t="str">
        <f t="shared" si="277"/>
        <v>INIT</v>
      </c>
      <c r="C441" s="20" t="str">
        <f t="shared" si="278"/>
        <v/>
      </c>
      <c r="D441" s="5"/>
      <c r="E441" s="28" t="s">
        <v>846</v>
      </c>
      <c r="F441" s="36" t="s">
        <v>155</v>
      </c>
      <c r="G441" s="30" t="s">
        <v>222</v>
      </c>
      <c r="H441" s="30" t="s">
        <v>218</v>
      </c>
      <c r="I441" s="30" t="s">
        <v>218</v>
      </c>
      <c r="J441" s="30"/>
      <c r="K441" s="30" t="s">
        <v>194</v>
      </c>
      <c r="L441" s="30"/>
      <c r="M441" s="30"/>
      <c r="N441" s="30"/>
      <c r="O441" s="31"/>
      <c r="P441" s="32"/>
      <c r="Q441" s="5"/>
      <c r="R441" s="10"/>
    </row>
    <row r="442" spans="1:18">
      <c r="A442" s="20" t="str">
        <f t="shared" si="276"/>
        <v>RESP</v>
      </c>
      <c r="B442" s="20" t="str">
        <f t="shared" si="277"/>
        <v>INIT</v>
      </c>
      <c r="C442" s="20" t="str">
        <f t="shared" si="278"/>
        <v/>
      </c>
      <c r="D442" s="5"/>
      <c r="E442" s="28" t="s">
        <v>847</v>
      </c>
      <c r="F442" s="36" t="s">
        <v>156</v>
      </c>
      <c r="G442" s="30" t="s">
        <v>222</v>
      </c>
      <c r="H442" s="30" t="s">
        <v>218</v>
      </c>
      <c r="I442" s="30" t="s">
        <v>218</v>
      </c>
      <c r="J442" s="30"/>
      <c r="K442" s="30" t="s">
        <v>144</v>
      </c>
      <c r="L442" s="30"/>
      <c r="M442" s="30"/>
      <c r="N442" s="30"/>
      <c r="O442" s="31"/>
      <c r="P442" s="32"/>
      <c r="Q442" s="5"/>
      <c r="R442" s="10"/>
    </row>
    <row r="443" spans="1:18">
      <c r="A443" s="20" t="str">
        <f t="shared" si="276"/>
        <v>RESP</v>
      </c>
      <c r="B443" s="20" t="str">
        <f t="shared" si="277"/>
        <v>INIT</v>
      </c>
      <c r="C443" s="20" t="str">
        <f t="shared" si="278"/>
        <v/>
      </c>
      <c r="D443" s="5"/>
      <c r="E443" s="28" t="s">
        <v>848</v>
      </c>
      <c r="F443" s="36" t="s">
        <v>157</v>
      </c>
      <c r="G443" s="30" t="s">
        <v>222</v>
      </c>
      <c r="H443" s="30" t="s">
        <v>218</v>
      </c>
      <c r="I443" s="30" t="s">
        <v>218</v>
      </c>
      <c r="J443" s="30"/>
      <c r="K443" s="30" t="s">
        <v>144</v>
      </c>
      <c r="L443" s="30"/>
      <c r="M443" s="30"/>
      <c r="N443" s="30"/>
      <c r="O443" s="31"/>
      <c r="P443" s="32"/>
      <c r="Q443" s="5"/>
      <c r="R443" s="10"/>
    </row>
    <row r="444" spans="1:18" ht="104.5">
      <c r="A444" s="20" t="str">
        <f t="shared" ref="A444:A445" si="279">IF(J444="","RESP","")</f>
        <v>RESP</v>
      </c>
      <c r="B444" s="20" t="str">
        <f t="shared" ref="B444:B445" si="280">IF(M444="","INIT","")</f>
        <v>INIT</v>
      </c>
      <c r="C444" s="20" t="str">
        <f t="shared" ref="C444:C445" si="281">IF(AND(J444="NO",O444=""),"CMTS","")</f>
        <v/>
      </c>
      <c r="D444" s="5"/>
      <c r="E444" s="28" t="s">
        <v>849</v>
      </c>
      <c r="F444" s="36" t="s">
        <v>340</v>
      </c>
      <c r="G444" s="30" t="s">
        <v>222</v>
      </c>
      <c r="H444" s="30" t="s">
        <v>218</v>
      </c>
      <c r="I444" s="30" t="s">
        <v>218</v>
      </c>
      <c r="J444" s="30"/>
      <c r="K444" s="30" t="s">
        <v>144</v>
      </c>
      <c r="L444" s="30"/>
      <c r="M444" s="30"/>
      <c r="N444" s="30"/>
      <c r="O444" s="31"/>
      <c r="P444" s="32"/>
      <c r="Q444" s="5"/>
      <c r="R444" s="10"/>
    </row>
    <row r="445" spans="1:18">
      <c r="A445" s="20" t="str">
        <f t="shared" si="279"/>
        <v>RESP</v>
      </c>
      <c r="B445" s="20" t="str">
        <f t="shared" si="280"/>
        <v>INIT</v>
      </c>
      <c r="C445" s="20" t="str">
        <f t="shared" si="281"/>
        <v/>
      </c>
      <c r="D445" s="5"/>
      <c r="E445" s="28" t="s">
        <v>850</v>
      </c>
      <c r="F445" s="36" t="s">
        <v>123</v>
      </c>
      <c r="G445" s="30" t="s">
        <v>222</v>
      </c>
      <c r="H445" s="30" t="s">
        <v>218</v>
      </c>
      <c r="I445" s="30" t="s">
        <v>218</v>
      </c>
      <c r="J445" s="30"/>
      <c r="K445" s="30" t="s">
        <v>194</v>
      </c>
      <c r="L445" s="30"/>
      <c r="M445" s="30"/>
      <c r="N445" s="30"/>
      <c r="O445" s="31"/>
      <c r="P445" s="32"/>
      <c r="Q445" s="5"/>
      <c r="R445" s="10"/>
    </row>
    <row r="448" spans="1:18" ht="27.5">
      <c r="A448" s="12" t="s">
        <v>210</v>
      </c>
      <c r="B448" s="13"/>
      <c r="C448" s="13"/>
      <c r="D448" s="2"/>
      <c r="E448" s="22" t="s">
        <v>851</v>
      </c>
      <c r="F448" s="23"/>
      <c r="G448" s="40" t="s">
        <v>214</v>
      </c>
      <c r="H448" s="40" t="s">
        <v>215</v>
      </c>
      <c r="I448" s="40" t="s">
        <v>219</v>
      </c>
      <c r="J448" s="40" t="s">
        <v>211</v>
      </c>
      <c r="K448" s="40" t="s">
        <v>216</v>
      </c>
      <c r="L448" s="40" t="s">
        <v>217</v>
      </c>
      <c r="M448" s="40" t="s">
        <v>220</v>
      </c>
      <c r="N448" s="40" t="s">
        <v>221</v>
      </c>
      <c r="O448" s="40" t="s">
        <v>208</v>
      </c>
      <c r="P448" s="41" t="s">
        <v>249</v>
      </c>
      <c r="Q448" s="2"/>
      <c r="R448" s="9" t="s">
        <v>213</v>
      </c>
    </row>
    <row r="449" spans="1:18">
      <c r="A449" s="20" t="str">
        <f t="shared" ref="A449:A453" si="282">IF(J449="","RESP","")</f>
        <v>RESP</v>
      </c>
      <c r="B449" s="20" t="str">
        <f t="shared" ref="B449:B453" si="283">IF(M449="","INIT","")</f>
        <v>INIT</v>
      </c>
      <c r="C449" s="20" t="str">
        <f t="shared" ref="C449:C453" si="284">IF(AND(J449="NO",O449=""),"CMTS","")</f>
        <v/>
      </c>
      <c r="D449" s="5"/>
      <c r="E449" s="28" t="s">
        <v>888</v>
      </c>
      <c r="F449" s="36" t="s">
        <v>852</v>
      </c>
      <c r="G449" s="30" t="s">
        <v>222</v>
      </c>
      <c r="H449" s="30" t="s">
        <v>218</v>
      </c>
      <c r="I449" s="30" t="s">
        <v>218</v>
      </c>
      <c r="J449" s="30"/>
      <c r="K449" s="30" t="s">
        <v>144</v>
      </c>
      <c r="L449" s="30"/>
      <c r="M449" s="30"/>
      <c r="N449" s="30"/>
      <c r="O449" s="31"/>
      <c r="P449" s="32"/>
      <c r="Q449" s="5"/>
      <c r="R449" s="10"/>
    </row>
    <row r="450" spans="1:18">
      <c r="A450" s="20" t="str">
        <f t="shared" si="282"/>
        <v>RESP</v>
      </c>
      <c r="B450" s="20" t="str">
        <f t="shared" si="283"/>
        <v>INIT</v>
      </c>
      <c r="C450" s="20" t="str">
        <f t="shared" si="284"/>
        <v/>
      </c>
      <c r="D450" s="5"/>
      <c r="E450" s="28" t="s">
        <v>889</v>
      </c>
      <c r="F450" s="36" t="s">
        <v>853</v>
      </c>
      <c r="G450" s="30" t="s">
        <v>222</v>
      </c>
      <c r="H450" s="30" t="s">
        <v>218</v>
      </c>
      <c r="I450" s="30" t="s">
        <v>218</v>
      </c>
      <c r="J450" s="30"/>
      <c r="K450" s="30" t="s">
        <v>144</v>
      </c>
      <c r="L450" s="30"/>
      <c r="M450" s="30"/>
      <c r="N450" s="30"/>
      <c r="O450" s="31"/>
      <c r="P450" s="32"/>
      <c r="Q450" s="5"/>
      <c r="R450" s="10"/>
    </row>
    <row r="451" spans="1:18">
      <c r="A451" s="20" t="str">
        <f t="shared" si="282"/>
        <v>RESP</v>
      </c>
      <c r="B451" s="20" t="str">
        <f t="shared" si="283"/>
        <v>INIT</v>
      </c>
      <c r="C451" s="20" t="str">
        <f t="shared" si="284"/>
        <v/>
      </c>
      <c r="D451" s="5"/>
      <c r="E451" s="28" t="s">
        <v>890</v>
      </c>
      <c r="F451" s="36" t="s">
        <v>856</v>
      </c>
      <c r="G451" s="30" t="s">
        <v>222</v>
      </c>
      <c r="H451" s="30" t="s">
        <v>218</v>
      </c>
      <c r="I451" s="30" t="s">
        <v>218</v>
      </c>
      <c r="J451" s="30"/>
      <c r="K451" s="30" t="s">
        <v>144</v>
      </c>
      <c r="L451" s="30"/>
      <c r="M451" s="30"/>
      <c r="N451" s="30"/>
      <c r="O451" s="31"/>
      <c r="P451" s="32"/>
      <c r="Q451" s="5"/>
      <c r="R451" s="10"/>
    </row>
    <row r="452" spans="1:18">
      <c r="A452" s="20" t="str">
        <f t="shared" si="282"/>
        <v>RESP</v>
      </c>
      <c r="B452" s="20" t="str">
        <f t="shared" si="283"/>
        <v>INIT</v>
      </c>
      <c r="C452" s="20" t="str">
        <f t="shared" si="284"/>
        <v/>
      </c>
      <c r="D452" s="5"/>
      <c r="E452" s="28" t="s">
        <v>891</v>
      </c>
      <c r="F452" s="36" t="s">
        <v>854</v>
      </c>
      <c r="G452" s="30" t="s">
        <v>222</v>
      </c>
      <c r="H452" s="30" t="s">
        <v>218</v>
      </c>
      <c r="I452" s="30" t="s">
        <v>218</v>
      </c>
      <c r="J452" s="30"/>
      <c r="K452" s="30" t="s">
        <v>144</v>
      </c>
      <c r="L452" s="30"/>
      <c r="M452" s="30"/>
      <c r="N452" s="30"/>
      <c r="O452" s="31"/>
      <c r="P452" s="32"/>
      <c r="Q452" s="5"/>
      <c r="R452" s="10"/>
    </row>
    <row r="453" spans="1:18">
      <c r="A453" s="20" t="str">
        <f t="shared" si="282"/>
        <v>RESP</v>
      </c>
      <c r="B453" s="20" t="str">
        <f t="shared" si="283"/>
        <v>INIT</v>
      </c>
      <c r="C453" s="20" t="str">
        <f t="shared" si="284"/>
        <v/>
      </c>
      <c r="D453" s="5"/>
      <c r="E453" s="28" t="s">
        <v>892</v>
      </c>
      <c r="F453" s="36" t="s">
        <v>857</v>
      </c>
      <c r="G453" s="30" t="s">
        <v>222</v>
      </c>
      <c r="H453" s="30" t="s">
        <v>218</v>
      </c>
      <c r="I453" s="30" t="s">
        <v>218</v>
      </c>
      <c r="J453" s="30"/>
      <c r="K453" s="30" t="s">
        <v>144</v>
      </c>
      <c r="L453" s="30"/>
      <c r="M453" s="30"/>
      <c r="N453" s="30"/>
      <c r="O453" s="31"/>
      <c r="P453" s="32"/>
      <c r="Q453" s="5"/>
      <c r="R453" s="10"/>
    </row>
    <row r="454" spans="1:18">
      <c r="A454" s="103"/>
      <c r="B454" s="103"/>
      <c r="C454" s="103"/>
      <c r="D454" s="5"/>
      <c r="E454" s="104"/>
      <c r="F454" s="105"/>
      <c r="Q454" s="5"/>
      <c r="R454" s="106"/>
    </row>
    <row r="456" spans="1:18" ht="27.5">
      <c r="A456" s="12" t="s">
        <v>210</v>
      </c>
      <c r="B456" s="13"/>
      <c r="C456" s="13"/>
      <c r="D456" s="2"/>
      <c r="E456" s="22" t="s">
        <v>1141</v>
      </c>
      <c r="F456" s="23"/>
      <c r="G456" s="40" t="s">
        <v>214</v>
      </c>
      <c r="H456" s="40" t="s">
        <v>215</v>
      </c>
      <c r="I456" s="40" t="s">
        <v>219</v>
      </c>
      <c r="J456" s="40" t="s">
        <v>211</v>
      </c>
      <c r="K456" s="40" t="s">
        <v>216</v>
      </c>
      <c r="L456" s="40" t="s">
        <v>217</v>
      </c>
      <c r="M456" s="40" t="s">
        <v>220</v>
      </c>
      <c r="N456" s="40" t="s">
        <v>221</v>
      </c>
      <c r="O456" s="40" t="s">
        <v>208</v>
      </c>
      <c r="P456" s="41" t="s">
        <v>249</v>
      </c>
      <c r="Q456" s="2"/>
      <c r="R456" s="9" t="s">
        <v>213</v>
      </c>
    </row>
    <row r="457" spans="1:18" ht="26.5">
      <c r="A457" s="20" t="str">
        <f t="shared" ref="A457" si="285">IF(J457="","RESP","")</f>
        <v>RESP</v>
      </c>
      <c r="B457" s="20" t="str">
        <f t="shared" ref="B457" si="286">IF(M457="","INIT","")</f>
        <v>INIT</v>
      </c>
      <c r="C457" s="20" t="str">
        <f t="shared" ref="C457" si="287">IF(AND(J457="NO",O457=""),"CMTS","")</f>
        <v/>
      </c>
      <c r="D457" s="5"/>
      <c r="E457" s="28" t="s">
        <v>1142</v>
      </c>
      <c r="F457" s="36" t="s">
        <v>855</v>
      </c>
      <c r="G457" s="30" t="s">
        <v>222</v>
      </c>
      <c r="H457" s="30" t="s">
        <v>218</v>
      </c>
      <c r="I457" s="30" t="s">
        <v>218</v>
      </c>
      <c r="J457" s="30"/>
      <c r="K457" s="30" t="s">
        <v>144</v>
      </c>
      <c r="L457" s="30"/>
      <c r="M457" s="30"/>
      <c r="N457" s="30"/>
      <c r="O457" s="31"/>
      <c r="P457" s="32"/>
      <c r="Q457" s="5"/>
      <c r="R457" s="10"/>
    </row>
    <row r="460" spans="1:18" ht="27.5">
      <c r="A460" s="12" t="s">
        <v>210</v>
      </c>
      <c r="B460" s="13"/>
      <c r="C460" s="13"/>
      <c r="D460" s="2"/>
      <c r="E460" s="22" t="s">
        <v>1143</v>
      </c>
      <c r="F460" s="23"/>
      <c r="G460" s="40" t="s">
        <v>214</v>
      </c>
      <c r="H460" s="40" t="s">
        <v>215</v>
      </c>
      <c r="I460" s="40" t="s">
        <v>219</v>
      </c>
      <c r="J460" s="40" t="s">
        <v>211</v>
      </c>
      <c r="K460" s="40" t="s">
        <v>216</v>
      </c>
      <c r="L460" s="40" t="s">
        <v>217</v>
      </c>
      <c r="M460" s="40" t="s">
        <v>220</v>
      </c>
      <c r="N460" s="40" t="s">
        <v>221</v>
      </c>
      <c r="O460" s="40" t="s">
        <v>208</v>
      </c>
      <c r="P460" s="41" t="s">
        <v>249</v>
      </c>
      <c r="Q460" s="2"/>
      <c r="R460" s="9" t="s">
        <v>213</v>
      </c>
    </row>
    <row r="461" spans="1:18" ht="32.5" customHeight="1">
      <c r="A461" s="20" t="str">
        <f t="shared" ref="A461:A462" si="288">IF(J461="","RESP","")</f>
        <v>RESP</v>
      </c>
      <c r="B461" s="20" t="str">
        <f t="shared" ref="B461:B462" si="289">IF(M461="","INIT","")</f>
        <v>INIT</v>
      </c>
      <c r="C461" s="20" t="str">
        <f t="shared" ref="C461:C462" si="290">IF(AND(J461="NO",O461=""),"CMTS","")</f>
        <v/>
      </c>
      <c r="D461" s="5"/>
      <c r="E461" s="28" t="s">
        <v>1144</v>
      </c>
      <c r="F461" s="36" t="s">
        <v>886</v>
      </c>
      <c r="G461" s="30" t="s">
        <v>222</v>
      </c>
      <c r="H461" s="30" t="s">
        <v>861</v>
      </c>
      <c r="I461" s="30" t="s">
        <v>218</v>
      </c>
      <c r="J461" s="30"/>
      <c r="K461" s="30" t="s">
        <v>144</v>
      </c>
      <c r="L461" s="30"/>
      <c r="M461" s="30"/>
      <c r="N461" s="30"/>
      <c r="O461" s="31"/>
      <c r="P461" s="32"/>
      <c r="Q461" s="5"/>
      <c r="R461" s="10"/>
    </row>
    <row r="462" spans="1:18" ht="32.5" customHeight="1">
      <c r="A462" s="20" t="str">
        <f t="shared" si="288"/>
        <v>RESP</v>
      </c>
      <c r="B462" s="20" t="str">
        <f t="shared" si="289"/>
        <v>INIT</v>
      </c>
      <c r="C462" s="20" t="str">
        <f t="shared" si="290"/>
        <v/>
      </c>
      <c r="D462" s="5"/>
      <c r="E462" s="28" t="s">
        <v>1145</v>
      </c>
      <c r="F462" s="36" t="s">
        <v>887</v>
      </c>
      <c r="G462" s="30" t="s">
        <v>222</v>
      </c>
      <c r="H462" s="30" t="s">
        <v>861</v>
      </c>
      <c r="I462" s="30" t="s">
        <v>218</v>
      </c>
      <c r="J462" s="30"/>
      <c r="K462" s="30" t="s">
        <v>144</v>
      </c>
      <c r="L462" s="30"/>
      <c r="M462" s="30"/>
      <c r="N462" s="30"/>
      <c r="O462" s="31"/>
      <c r="P462" s="32"/>
      <c r="Q462" s="5"/>
      <c r="R462" s="10"/>
    </row>
    <row r="465" spans="1:18" ht="27.5">
      <c r="A465" s="12" t="s">
        <v>210</v>
      </c>
      <c r="B465" s="13"/>
      <c r="C465" s="13"/>
      <c r="D465" s="2"/>
      <c r="E465" s="22" t="s">
        <v>1146</v>
      </c>
      <c r="F465" s="23"/>
      <c r="G465" s="40" t="s">
        <v>214</v>
      </c>
      <c r="H465" s="40" t="s">
        <v>215</v>
      </c>
      <c r="I465" s="40" t="s">
        <v>219</v>
      </c>
      <c r="J465" s="40" t="s">
        <v>211</v>
      </c>
      <c r="K465" s="40" t="s">
        <v>216</v>
      </c>
      <c r="L465" s="40" t="s">
        <v>217</v>
      </c>
      <c r="M465" s="40" t="s">
        <v>220</v>
      </c>
      <c r="N465" s="40" t="s">
        <v>221</v>
      </c>
      <c r="O465" s="40" t="s">
        <v>208</v>
      </c>
      <c r="P465" s="41" t="s">
        <v>249</v>
      </c>
      <c r="Q465" s="2"/>
      <c r="R465" s="9" t="s">
        <v>213</v>
      </c>
    </row>
    <row r="466" spans="1:18">
      <c r="A466" s="20" t="str">
        <f t="shared" ref="A466:A467" si="291">IF(J466="","RESP","")</f>
        <v>RESP</v>
      </c>
      <c r="B466" s="20" t="str">
        <f t="shared" ref="B466:B467" si="292">IF(M466="","INIT","")</f>
        <v>INIT</v>
      </c>
      <c r="C466" s="20" t="str">
        <f t="shared" ref="C466:C467" si="293">IF(AND(J466="NO",O466=""),"CMTS","")</f>
        <v/>
      </c>
      <c r="D466" s="5"/>
      <c r="E466" s="28" t="s">
        <v>1147</v>
      </c>
      <c r="F466" s="36" t="s">
        <v>1132</v>
      </c>
      <c r="G466" s="30" t="s">
        <v>222</v>
      </c>
      <c r="H466" s="30" t="s">
        <v>1075</v>
      </c>
      <c r="I466" s="30" t="s">
        <v>218</v>
      </c>
      <c r="J466" s="30"/>
      <c r="K466" s="30" t="s">
        <v>144</v>
      </c>
      <c r="L466" s="30"/>
      <c r="M466" s="30"/>
      <c r="N466" s="30"/>
      <c r="O466" s="31"/>
      <c r="P466" s="32"/>
      <c r="Q466" s="5"/>
      <c r="R466" s="10"/>
    </row>
    <row r="467" spans="1:18">
      <c r="A467" s="20" t="str">
        <f t="shared" si="291"/>
        <v>RESP</v>
      </c>
      <c r="B467" s="20" t="str">
        <f t="shared" si="292"/>
        <v>INIT</v>
      </c>
      <c r="C467" s="20" t="str">
        <f t="shared" si="293"/>
        <v/>
      </c>
      <c r="D467" s="5"/>
      <c r="E467" s="28" t="s">
        <v>1148</v>
      </c>
      <c r="F467" s="36" t="s">
        <v>1133</v>
      </c>
      <c r="G467" s="30" t="s">
        <v>222</v>
      </c>
      <c r="H467" s="30" t="s">
        <v>1075</v>
      </c>
      <c r="I467" s="30" t="s">
        <v>218</v>
      </c>
      <c r="J467" s="30"/>
      <c r="K467" s="30" t="s">
        <v>144</v>
      </c>
      <c r="L467" s="30"/>
      <c r="M467" s="30"/>
      <c r="N467" s="30"/>
      <c r="O467" s="31"/>
      <c r="P467" s="32"/>
      <c r="Q467" s="5"/>
      <c r="R467" s="10"/>
    </row>
    <row r="468" spans="1:18">
      <c r="A468" s="20" t="str">
        <f t="shared" ref="A468:A471" si="294">IF(J468="","RESP","")</f>
        <v>RESP</v>
      </c>
      <c r="B468" s="20" t="str">
        <f t="shared" ref="B468:B471" si="295">IF(M468="","INIT","")</f>
        <v>INIT</v>
      </c>
      <c r="C468" s="20" t="str">
        <f t="shared" ref="C468:C471" si="296">IF(AND(J468="NO",O468=""),"CMTS","")</f>
        <v/>
      </c>
      <c r="D468" s="5"/>
      <c r="E468" s="28" t="s">
        <v>1149</v>
      </c>
      <c r="F468" s="36" t="s">
        <v>1134</v>
      </c>
      <c r="G468" s="30" t="s">
        <v>222</v>
      </c>
      <c r="H468" s="30" t="s">
        <v>1075</v>
      </c>
      <c r="I468" s="30" t="s">
        <v>218</v>
      </c>
      <c r="J468" s="30"/>
      <c r="K468" s="30" t="s">
        <v>144</v>
      </c>
      <c r="L468" s="30"/>
      <c r="M468" s="30"/>
      <c r="N468" s="30"/>
      <c r="O468" s="31"/>
      <c r="P468" s="32"/>
      <c r="Q468" s="5"/>
      <c r="R468" s="10"/>
    </row>
    <row r="469" spans="1:18">
      <c r="A469" s="20" t="str">
        <f t="shared" si="294"/>
        <v>RESP</v>
      </c>
      <c r="B469" s="20" t="str">
        <f t="shared" si="295"/>
        <v>INIT</v>
      </c>
      <c r="C469" s="20" t="str">
        <f t="shared" si="296"/>
        <v/>
      </c>
      <c r="D469" s="5"/>
      <c r="E469" s="28" t="s">
        <v>1150</v>
      </c>
      <c r="F469" s="36" t="s">
        <v>1135</v>
      </c>
      <c r="G469" s="30" t="s">
        <v>222</v>
      </c>
      <c r="H469" s="30" t="s">
        <v>1075</v>
      </c>
      <c r="I469" s="30" t="s">
        <v>218</v>
      </c>
      <c r="J469" s="30"/>
      <c r="K469" s="30" t="s">
        <v>144</v>
      </c>
      <c r="L469" s="30"/>
      <c r="M469" s="30"/>
      <c r="N469" s="30"/>
      <c r="O469" s="31"/>
      <c r="P469" s="32"/>
      <c r="Q469" s="5"/>
      <c r="R469" s="10"/>
    </row>
    <row r="470" spans="1:18">
      <c r="A470" s="20" t="str">
        <f t="shared" si="294"/>
        <v>RESP</v>
      </c>
      <c r="B470" s="20" t="str">
        <f t="shared" si="295"/>
        <v>INIT</v>
      </c>
      <c r="C470" s="20" t="str">
        <f t="shared" si="296"/>
        <v/>
      </c>
      <c r="D470" s="5"/>
      <c r="E470" s="28" t="s">
        <v>1151</v>
      </c>
      <c r="F470" s="36" t="s">
        <v>1136</v>
      </c>
      <c r="G470" s="30" t="s">
        <v>222</v>
      </c>
      <c r="H470" s="30" t="s">
        <v>1075</v>
      </c>
      <c r="I470" s="30" t="s">
        <v>218</v>
      </c>
      <c r="J470" s="30"/>
      <c r="K470" s="30" t="s">
        <v>144</v>
      </c>
      <c r="L470" s="30"/>
      <c r="M470" s="30"/>
      <c r="N470" s="30"/>
      <c r="O470" s="31"/>
      <c r="P470" s="32"/>
      <c r="Q470" s="5"/>
      <c r="R470" s="10"/>
    </row>
    <row r="471" spans="1:18">
      <c r="A471" s="20" t="str">
        <f t="shared" si="294"/>
        <v>RESP</v>
      </c>
      <c r="B471" s="20" t="str">
        <f t="shared" si="295"/>
        <v>INIT</v>
      </c>
      <c r="C471" s="20" t="str">
        <f t="shared" si="296"/>
        <v/>
      </c>
      <c r="D471" s="5"/>
      <c r="E471" s="28" t="s">
        <v>1152</v>
      </c>
      <c r="F471" s="36" t="s">
        <v>1137</v>
      </c>
      <c r="G471" s="30" t="s">
        <v>222</v>
      </c>
      <c r="H471" s="30" t="s">
        <v>1075</v>
      </c>
      <c r="I471" s="30" t="s">
        <v>218</v>
      </c>
      <c r="J471" s="30"/>
      <c r="K471" s="30" t="s">
        <v>144</v>
      </c>
      <c r="L471" s="30"/>
      <c r="M471" s="30"/>
      <c r="N471" s="30"/>
      <c r="O471" s="31"/>
      <c r="P471" s="32"/>
      <c r="Q471" s="5"/>
      <c r="R471" s="10"/>
    </row>
  </sheetData>
  <phoneticPr fontId="9" type="noConversion"/>
  <conditionalFormatting sqref="A25:C35 A36:E36 A37:C164 A167:C223 A407:C416 A418:C425 A448:C454">
    <cfRule type="cellIs" dxfId="127" priority="323" operator="equal">
      <formula>"RESP"</formula>
    </cfRule>
    <cfRule type="cellIs" dxfId="126" priority="324" operator="equal">
      <formula>"INIT"</formula>
    </cfRule>
    <cfRule type="cellIs" dxfId="125" priority="325" operator="equal">
      <formula>"CMTS"</formula>
    </cfRule>
  </conditionalFormatting>
  <conditionalFormatting sqref="A26:C29 A37:C37 A55:C56 A64:C64">
    <cfRule type="cellIs" dxfId="124" priority="336" operator="equal">
      <formula>"OK"</formula>
    </cfRule>
  </conditionalFormatting>
  <conditionalFormatting sqref="A226:C231">
    <cfRule type="cellIs" dxfId="123" priority="76" operator="equal">
      <formula>"RESP"</formula>
    </cfRule>
    <cfRule type="cellIs" dxfId="122" priority="77" operator="equal">
      <formula>"INIT"</formula>
    </cfRule>
    <cfRule type="cellIs" dxfId="121" priority="78" operator="equal">
      <formula>"CMTS"</formula>
    </cfRule>
  </conditionalFormatting>
  <conditionalFormatting sqref="A234:C240">
    <cfRule type="cellIs" dxfId="120" priority="44" operator="equal">
      <formula>"INIT"</formula>
    </cfRule>
    <cfRule type="cellIs" dxfId="119" priority="43" operator="equal">
      <formula>"RESP"</formula>
    </cfRule>
    <cfRule type="cellIs" dxfId="118" priority="45" operator="equal">
      <formula>"CMTS"</formula>
    </cfRule>
  </conditionalFormatting>
  <conditionalFormatting sqref="A243:C251">
    <cfRule type="cellIs" dxfId="117" priority="279" operator="equal">
      <formula>"INIT"</formula>
    </cfRule>
    <cfRule type="cellIs" dxfId="116" priority="278" operator="equal">
      <formula>"RESP"</formula>
    </cfRule>
    <cfRule type="cellIs" dxfId="115" priority="280" operator="equal">
      <formula>"CMTS"</formula>
    </cfRule>
  </conditionalFormatting>
  <conditionalFormatting sqref="A254:C342">
    <cfRule type="cellIs" dxfId="114" priority="269" operator="equal">
      <formula>"RESP"</formula>
    </cfRule>
    <cfRule type="cellIs" dxfId="113" priority="270" operator="equal">
      <formula>"INIT"</formula>
    </cfRule>
    <cfRule type="cellIs" dxfId="112" priority="271" operator="equal">
      <formula>"CMTS"</formula>
    </cfRule>
  </conditionalFormatting>
  <conditionalFormatting sqref="A345:C351">
    <cfRule type="cellIs" dxfId="111" priority="159" operator="equal">
      <formula>"INIT"</formula>
    </cfRule>
    <cfRule type="cellIs" dxfId="110" priority="158" operator="equal">
      <formula>"RESP"</formula>
    </cfRule>
    <cfRule type="cellIs" dxfId="109" priority="160" operator="equal">
      <formula>"CMTS"</formula>
    </cfRule>
  </conditionalFormatting>
  <conditionalFormatting sqref="A354:C355">
    <cfRule type="cellIs" dxfId="108" priority="55" operator="equal">
      <formula>"RESP"</formula>
    </cfRule>
    <cfRule type="cellIs" dxfId="107" priority="56" operator="equal">
      <formula>"INIT"</formula>
    </cfRule>
    <cfRule type="cellIs" dxfId="106" priority="57" operator="equal">
      <formula>"CMTS"</formula>
    </cfRule>
  </conditionalFormatting>
  <conditionalFormatting sqref="A358:C365">
    <cfRule type="cellIs" dxfId="105" priority="31" operator="equal">
      <formula>"RESP"</formula>
    </cfRule>
    <cfRule type="cellIs" dxfId="104" priority="32" operator="equal">
      <formula>"INIT"</formula>
    </cfRule>
    <cfRule type="cellIs" dxfId="103" priority="33" operator="equal">
      <formula>"CMTS"</formula>
    </cfRule>
  </conditionalFormatting>
  <conditionalFormatting sqref="A368:C404">
    <cfRule type="cellIs" dxfId="102" priority="121" operator="equal">
      <formula>"CMTS"</formula>
    </cfRule>
    <cfRule type="cellIs" dxfId="101" priority="120" operator="equal">
      <formula>"INIT"</formula>
    </cfRule>
    <cfRule type="cellIs" dxfId="100" priority="119" operator="equal">
      <formula>"RESP"</formula>
    </cfRule>
  </conditionalFormatting>
  <conditionalFormatting sqref="A428:C434">
    <cfRule type="cellIs" dxfId="99" priority="108" operator="equal">
      <formula>"INIT"</formula>
    </cfRule>
    <cfRule type="cellIs" dxfId="98" priority="109" operator="equal">
      <formula>"CMTS"</formula>
    </cfRule>
    <cfRule type="cellIs" dxfId="97" priority="107" operator="equal">
      <formula>"RESP"</formula>
    </cfRule>
  </conditionalFormatting>
  <conditionalFormatting sqref="A437:C445">
    <cfRule type="cellIs" dxfId="96" priority="92" operator="equal">
      <formula>"RESP"</formula>
    </cfRule>
    <cfRule type="cellIs" dxfId="95" priority="93" operator="equal">
      <formula>"INIT"</formula>
    </cfRule>
    <cfRule type="cellIs" dxfId="94" priority="94" operator="equal">
      <formula>"CMTS"</formula>
    </cfRule>
  </conditionalFormatting>
  <conditionalFormatting sqref="A456:C457">
    <cfRule type="cellIs" dxfId="93" priority="1" operator="equal">
      <formula>"RESP"</formula>
    </cfRule>
    <cfRule type="cellIs" dxfId="92" priority="3" operator="equal">
      <formula>"CMTS"</formula>
    </cfRule>
    <cfRule type="cellIs" dxfId="91" priority="2" operator="equal">
      <formula>"INIT"</formula>
    </cfRule>
  </conditionalFormatting>
  <conditionalFormatting sqref="A460:C462">
    <cfRule type="cellIs" dxfId="90" priority="59" operator="equal">
      <formula>"INIT"</formula>
    </cfRule>
    <cfRule type="cellIs" dxfId="89" priority="60" operator="equal">
      <formula>"CMTS"</formula>
    </cfRule>
    <cfRule type="cellIs" dxfId="88" priority="58" operator="equal">
      <formula>"RESP"</formula>
    </cfRule>
  </conditionalFormatting>
  <conditionalFormatting sqref="A465:C471">
    <cfRule type="cellIs" dxfId="87" priority="6" operator="equal">
      <formula>"CMTS"</formula>
    </cfRule>
    <cfRule type="cellIs" dxfId="86" priority="5" operator="equal">
      <formula>"INIT"</formula>
    </cfRule>
    <cfRule type="cellIs" dxfId="85" priority="4" operator="equal">
      <formula>"RESP"</formula>
    </cfRule>
  </conditionalFormatting>
  <conditionalFormatting sqref="C36:E36">
    <cfRule type="cellIs" dxfId="84" priority="88" operator="equal">
      <formula>"OK"</formula>
    </cfRule>
  </conditionalFormatting>
  <dataValidations count="3">
    <dataValidation allowBlank="1" showInputMessage="1" showErrorMessage="1" error="Valid Entries : &quot;YES&quot; , &quot;NO&quot; , &quot;N/A&quot;" sqref="M457:N457 M244:N251 M58:N63 M227:N231 M429:N434 M346:N351 M235:N240 M355:N355 M438:N445 M104:N111 M81:N100 M67:N77 M31:N35 M168:N223 M408:N415 M39:N54 M286:N296 M369:N404 M300:N303 M461:N462 M115:N122 M126:N127 M255:N284 M307:N311 M419:N425 M359:N365 M315:N342 M466:N471 M449:N453 M131:N164" xr:uid="{9507918F-EE58-4C74-B373-7C795F0615C6}"/>
    <dataValidation type="list" allowBlank="1" showInputMessage="1" showErrorMessage="1" error="Valid Entries : &quot;YES&quot; , &quot;NO&quot; , &quot;N/A&quot;" sqref="J449:J453 J244:J251 L244:L251 L58:L63 J429:J434 J346:J351 L346:L351 L369:L404 L429:L434 J286:J296 J438:J445 L438:L445 J58:J63 J104:J111 L81:L100 J67:J77 L67:L77 L300:L303 L31:L35 J31:J35 L227:L231 J227:J231 J168:J223 L168:L223 L408:L415 J408:J415 L104:L111 J81:J100 L39:L54 J39:J54 J235:J240 L286:L296 J369:J404 J300:J303 L355 J461:J462 L461:L462 J355 J457 L115:L122 J115:J122 L126:L127 J126:J127 L235:L240 L307:L311 L255:L284 J255:J284 J307:J311 L419:L425 J419:J425 J359:J365 L359:L365 L315:L342 J315:J342 J466:J471 L466:L471 L457 L449:L453 J131:J164 L131:L164" xr:uid="{DE372806-5B16-41EE-A193-3202E8E0F48A}">
      <formula1>" ,YES,NO,N/A"</formula1>
    </dataValidation>
    <dataValidation type="date" operator="greaterThan" allowBlank="1" showInputMessage="1" showErrorMessage="1" error="Acceptable formats :_x000a_mm/dd/yyyy _x000a_mm-dd-yyyy_x000a_dd-mmm-yyyy" prompt="Acceptable formats :_x000a_mm/dd/yyyy _x000a_mm-dd-yyyy_x000a_dd-mmm-yyyy" sqref="F14 G17:G23" xr:uid="{4388E478-165C-4914-AD0E-934C5AD74B0D}">
      <formula1>36526</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CA62-3A38-4B2E-A7FC-4693D3AF5D23}">
  <dimension ref="A2:R187"/>
  <sheetViews>
    <sheetView showGridLines="0" topLeftCell="A159" workbookViewId="0">
      <selection activeCell="F70" sqref="F70"/>
    </sheetView>
  </sheetViews>
  <sheetFormatPr defaultRowHeight="14.5"/>
  <cols>
    <col min="2" max="2" width="5.6328125" customWidth="1"/>
    <col min="3" max="3" width="5.26953125" customWidth="1"/>
    <col min="4" max="4" width="4.453125" customWidth="1"/>
    <col min="5" max="5" width="15.453125" customWidth="1"/>
    <col min="6" max="6" width="112.08984375" customWidth="1"/>
    <col min="7" max="7" width="14.54296875" customWidth="1"/>
    <col min="8" max="8" width="24.453125" customWidth="1"/>
    <col min="9" max="9" width="13.81640625" customWidth="1"/>
    <col min="11" max="11" width="13.36328125" customWidth="1"/>
    <col min="12" max="12" width="13.26953125" customWidth="1"/>
    <col min="13" max="13" width="13.7265625" customWidth="1"/>
    <col min="14" max="14" width="20" customWidth="1"/>
    <col min="15" max="15" width="51.453125" customWidth="1"/>
    <col min="16" max="16" width="21.90625" customWidth="1"/>
    <col min="18" max="18" width="84.7265625" customWidth="1"/>
  </cols>
  <sheetData>
    <row r="2" spans="1:18">
      <c r="A2" s="11"/>
      <c r="B2" s="11"/>
      <c r="C2" s="11"/>
      <c r="D2" s="5"/>
      <c r="E2" s="6"/>
      <c r="F2" s="7"/>
      <c r="G2" s="7"/>
      <c r="H2" s="7"/>
      <c r="I2" s="7"/>
      <c r="J2" s="7"/>
      <c r="K2" s="7"/>
      <c r="L2" s="7"/>
      <c r="M2" s="17"/>
      <c r="N2" s="17"/>
      <c r="O2" s="17"/>
      <c r="P2" s="5"/>
      <c r="Q2" s="5"/>
      <c r="R2" s="8"/>
    </row>
    <row r="3" spans="1:18">
      <c r="A3" s="12" t="s">
        <v>209</v>
      </c>
      <c r="B3" s="13"/>
      <c r="C3" s="13"/>
      <c r="D3" s="5"/>
      <c r="E3" s="6"/>
      <c r="F3" s="3"/>
      <c r="G3" s="3"/>
      <c r="H3" s="3"/>
      <c r="I3" s="3"/>
      <c r="J3" s="3"/>
      <c r="K3" s="3"/>
      <c r="L3" s="3"/>
      <c r="M3" s="17"/>
      <c r="N3" s="17"/>
      <c r="O3" s="17"/>
      <c r="P3" s="5"/>
      <c r="Q3" s="5"/>
      <c r="R3" s="8"/>
    </row>
    <row r="4" spans="1:18">
      <c r="A4" s="14" t="e">
        <f>COUNTIFS($A$19:$A$65,"OK",$B$19:$B$65,"OK",$C$19:$C$65,"OK")/COUNT(#REF!)</f>
        <v>#DIV/0!</v>
      </c>
      <c r="B4" s="15"/>
      <c r="C4" s="16"/>
      <c r="D4" s="17"/>
      <c r="E4" s="17"/>
      <c r="F4" s="17"/>
      <c r="G4" s="17"/>
      <c r="H4" s="17"/>
      <c r="I4" s="17"/>
      <c r="J4" s="17"/>
      <c r="K4" s="17"/>
      <c r="L4" s="17"/>
      <c r="M4" s="17"/>
      <c r="N4" s="17"/>
      <c r="O4" s="17"/>
      <c r="P4" s="18"/>
      <c r="Q4" s="17"/>
      <c r="R4" s="19"/>
    </row>
    <row r="5" spans="1:18">
      <c r="A5" s="56"/>
      <c r="B5" s="57"/>
      <c r="C5" s="57"/>
      <c r="D5" s="17"/>
      <c r="E5" s="17"/>
      <c r="F5" s="17"/>
      <c r="G5" s="17"/>
      <c r="H5" s="17"/>
      <c r="I5" s="17"/>
      <c r="J5" s="17"/>
      <c r="K5" s="17"/>
      <c r="L5" s="17"/>
      <c r="M5" s="17"/>
      <c r="N5" s="17"/>
      <c r="O5" s="17"/>
      <c r="P5" s="18"/>
      <c r="Q5" s="17"/>
      <c r="R5" s="19"/>
    </row>
    <row r="6" spans="1:18">
      <c r="A6" s="56"/>
      <c r="B6" s="57"/>
      <c r="C6" s="57"/>
      <c r="D6" s="17"/>
      <c r="E6" s="17"/>
      <c r="F6" s="17"/>
      <c r="G6" s="17"/>
      <c r="H6" s="17"/>
      <c r="I6" s="17"/>
      <c r="J6" s="17"/>
      <c r="K6" s="17"/>
      <c r="L6" s="17"/>
      <c r="M6" s="17"/>
      <c r="N6" s="17"/>
      <c r="O6" s="17"/>
      <c r="P6" s="18"/>
      <c r="Q6" s="17"/>
      <c r="R6" s="19"/>
    </row>
    <row r="7" spans="1:18" ht="27.5">
      <c r="A7" s="12" t="s">
        <v>210</v>
      </c>
      <c r="B7" s="13"/>
      <c r="C7" s="13"/>
      <c r="D7" s="2"/>
      <c r="E7" s="24" t="s">
        <v>429</v>
      </c>
      <c r="F7" s="25"/>
      <c r="G7" s="26" t="s">
        <v>214</v>
      </c>
      <c r="H7" s="26" t="s">
        <v>215</v>
      </c>
      <c r="I7" s="26" t="s">
        <v>219</v>
      </c>
      <c r="J7" s="26" t="s">
        <v>211</v>
      </c>
      <c r="K7" s="26" t="s">
        <v>216</v>
      </c>
      <c r="L7" s="26" t="s">
        <v>217</v>
      </c>
      <c r="M7" s="26" t="s">
        <v>220</v>
      </c>
      <c r="N7" s="26" t="s">
        <v>221</v>
      </c>
      <c r="O7" s="26" t="s">
        <v>208</v>
      </c>
      <c r="P7" s="27" t="s">
        <v>212</v>
      </c>
      <c r="Q7" s="2"/>
      <c r="R7" s="9" t="s">
        <v>213</v>
      </c>
    </row>
    <row r="8" spans="1:18">
      <c r="A8" s="20" t="str">
        <f t="shared" ref="A8:A14" si="0">IF(J8="","RESP","")</f>
        <v>RESP</v>
      </c>
      <c r="B8" s="20" t="str">
        <f t="shared" ref="B8:B14" si="1">IF(M8="","INIT","")</f>
        <v>INIT</v>
      </c>
      <c r="C8" s="20" t="str">
        <f t="shared" ref="C8:C14" si="2">IF(AND(J8="NO",O8=""),"CMTS","")</f>
        <v/>
      </c>
      <c r="D8" s="2"/>
      <c r="E8" s="28" t="s">
        <v>426</v>
      </c>
      <c r="F8" s="33" t="s">
        <v>430</v>
      </c>
      <c r="G8" s="30" t="s">
        <v>218</v>
      </c>
      <c r="H8" s="30" t="s">
        <v>218</v>
      </c>
      <c r="I8" s="30" t="s">
        <v>218</v>
      </c>
      <c r="J8" s="30"/>
      <c r="K8" s="30" t="s">
        <v>194</v>
      </c>
      <c r="L8" s="30"/>
      <c r="M8" s="30"/>
      <c r="N8" s="30"/>
      <c r="O8" s="31"/>
      <c r="P8" s="32"/>
      <c r="Q8" s="2"/>
      <c r="R8" s="10"/>
    </row>
    <row r="9" spans="1:18">
      <c r="A9" s="20" t="str">
        <f t="shared" si="0"/>
        <v>RESP</v>
      </c>
      <c r="B9" s="20" t="str">
        <f t="shared" si="1"/>
        <v>INIT</v>
      </c>
      <c r="C9" s="20" t="str">
        <f t="shared" si="2"/>
        <v/>
      </c>
      <c r="D9" s="2"/>
      <c r="E9" s="28" t="s">
        <v>427</v>
      </c>
      <c r="F9" s="33" t="s">
        <v>32</v>
      </c>
      <c r="G9" s="30" t="s">
        <v>218</v>
      </c>
      <c r="H9" s="30" t="s">
        <v>218</v>
      </c>
      <c r="I9" s="30" t="s">
        <v>218</v>
      </c>
      <c r="J9" s="30"/>
      <c r="K9" s="30" t="s">
        <v>194</v>
      </c>
      <c r="L9" s="30"/>
      <c r="M9" s="30"/>
      <c r="N9" s="30"/>
      <c r="O9" s="31"/>
      <c r="P9" s="32"/>
      <c r="Q9" s="2"/>
      <c r="R9" s="10"/>
    </row>
    <row r="10" spans="1:18">
      <c r="A10" s="20" t="str">
        <f t="shared" si="0"/>
        <v>RESP</v>
      </c>
      <c r="B10" s="20" t="str">
        <f t="shared" si="1"/>
        <v>INIT</v>
      </c>
      <c r="C10" s="20" t="str">
        <f t="shared" si="2"/>
        <v/>
      </c>
      <c r="D10" s="2"/>
      <c r="E10" s="28" t="s">
        <v>428</v>
      </c>
      <c r="F10" s="33" t="s">
        <v>33</v>
      </c>
      <c r="G10" s="30" t="s">
        <v>218</v>
      </c>
      <c r="H10" s="30" t="s">
        <v>218</v>
      </c>
      <c r="I10" s="30" t="s">
        <v>218</v>
      </c>
      <c r="J10" s="30"/>
      <c r="K10" s="30" t="s">
        <v>144</v>
      </c>
      <c r="L10" s="30"/>
      <c r="M10" s="30"/>
      <c r="N10" s="30"/>
      <c r="O10" s="31"/>
      <c r="P10" s="32"/>
      <c r="Q10" s="2"/>
      <c r="R10" s="10"/>
    </row>
    <row r="11" spans="1:18">
      <c r="A11" s="20" t="str">
        <f t="shared" si="0"/>
        <v>RESP</v>
      </c>
      <c r="B11" s="20" t="str">
        <f t="shared" si="1"/>
        <v>INIT</v>
      </c>
      <c r="C11" s="20" t="str">
        <f t="shared" si="2"/>
        <v/>
      </c>
      <c r="D11" s="2"/>
      <c r="E11" s="28" t="s">
        <v>433</v>
      </c>
      <c r="F11" s="33" t="s">
        <v>431</v>
      </c>
      <c r="G11" s="30" t="s">
        <v>218</v>
      </c>
      <c r="H11" s="30" t="s">
        <v>218</v>
      </c>
      <c r="I11" s="30" t="s">
        <v>218</v>
      </c>
      <c r="J11" s="30"/>
      <c r="K11" s="30" t="s">
        <v>144</v>
      </c>
      <c r="L11" s="30"/>
      <c r="M11" s="30"/>
      <c r="N11" s="30"/>
      <c r="O11" s="31"/>
      <c r="P11" s="32"/>
      <c r="Q11" s="2"/>
      <c r="R11" s="10"/>
    </row>
    <row r="12" spans="1:18" ht="26.5">
      <c r="A12" s="20" t="str">
        <f t="shared" si="0"/>
        <v>RESP</v>
      </c>
      <c r="B12" s="20" t="str">
        <f t="shared" si="1"/>
        <v>INIT</v>
      </c>
      <c r="C12" s="20" t="str">
        <f t="shared" si="2"/>
        <v/>
      </c>
      <c r="D12" s="2"/>
      <c r="E12" s="28" t="s">
        <v>434</v>
      </c>
      <c r="F12" s="33" t="s">
        <v>129</v>
      </c>
      <c r="G12" s="30" t="s">
        <v>218</v>
      </c>
      <c r="H12" s="30" t="s">
        <v>218</v>
      </c>
      <c r="I12" s="30" t="s">
        <v>218</v>
      </c>
      <c r="J12" s="30"/>
      <c r="K12" s="30" t="s">
        <v>194</v>
      </c>
      <c r="L12" s="30"/>
      <c r="M12" s="30"/>
      <c r="N12" s="30"/>
      <c r="O12" s="31"/>
      <c r="P12" s="32"/>
      <c r="Q12" s="2"/>
      <c r="R12" s="10"/>
    </row>
    <row r="13" spans="1:18">
      <c r="A13" s="20" t="str">
        <f t="shared" si="0"/>
        <v>RESP</v>
      </c>
      <c r="B13" s="20" t="str">
        <f t="shared" si="1"/>
        <v>INIT</v>
      </c>
      <c r="C13" s="20" t="str">
        <f t="shared" si="2"/>
        <v/>
      </c>
      <c r="D13" s="2"/>
      <c r="E13" s="28" t="s">
        <v>435</v>
      </c>
      <c r="F13" s="33" t="s">
        <v>432</v>
      </c>
      <c r="G13" s="30" t="s">
        <v>218</v>
      </c>
      <c r="H13" s="30" t="s">
        <v>218</v>
      </c>
      <c r="I13" s="30" t="s">
        <v>218</v>
      </c>
      <c r="J13" s="30"/>
      <c r="K13" s="30" t="s">
        <v>194</v>
      </c>
      <c r="L13" s="30"/>
      <c r="M13" s="30"/>
      <c r="N13" s="30"/>
      <c r="O13" s="31"/>
      <c r="P13" s="32"/>
      <c r="Q13" s="2"/>
      <c r="R13" s="10"/>
    </row>
    <row r="14" spans="1:18">
      <c r="A14" s="20" t="str">
        <f t="shared" si="0"/>
        <v>RESP</v>
      </c>
      <c r="B14" s="20" t="str">
        <f t="shared" si="1"/>
        <v>INIT</v>
      </c>
      <c r="C14" s="20" t="str">
        <f t="shared" si="2"/>
        <v/>
      </c>
      <c r="D14" s="2"/>
      <c r="E14" s="28" t="s">
        <v>436</v>
      </c>
      <c r="F14" s="33" t="s">
        <v>104</v>
      </c>
      <c r="G14" s="30" t="s">
        <v>218</v>
      </c>
      <c r="H14" s="30" t="s">
        <v>218</v>
      </c>
      <c r="I14" s="30" t="s">
        <v>218</v>
      </c>
      <c r="J14" s="30"/>
      <c r="K14" s="30" t="s">
        <v>194</v>
      </c>
      <c r="L14" s="30"/>
      <c r="M14" s="30"/>
      <c r="N14" s="30"/>
      <c r="O14" s="31"/>
      <c r="P14" s="32"/>
      <c r="Q14" s="2"/>
      <c r="R14" s="10"/>
    </row>
    <row r="15" spans="1:18">
      <c r="A15" s="56"/>
      <c r="B15" s="57"/>
      <c r="C15" s="57"/>
      <c r="D15" s="17"/>
      <c r="E15" s="17"/>
      <c r="F15" s="17"/>
      <c r="G15" s="17"/>
      <c r="H15" s="17"/>
      <c r="I15" s="17"/>
      <c r="J15" s="17"/>
      <c r="K15" s="17"/>
      <c r="L15" s="17"/>
      <c r="M15" s="17"/>
      <c r="N15" s="17"/>
      <c r="O15" s="17"/>
      <c r="P15" s="18"/>
      <c r="Q15" s="17"/>
      <c r="R15" s="19"/>
    </row>
    <row r="16" spans="1:18">
      <c r="A16" s="56"/>
      <c r="B16" s="57"/>
      <c r="C16" s="57"/>
      <c r="D16" s="17"/>
      <c r="E16" s="17"/>
      <c r="F16" s="17"/>
      <c r="G16" s="17"/>
      <c r="H16" s="17"/>
      <c r="I16" s="17"/>
      <c r="J16" s="17"/>
      <c r="K16" s="17"/>
      <c r="L16" s="17"/>
      <c r="M16" s="17"/>
      <c r="N16" s="17"/>
      <c r="O16" s="17"/>
      <c r="P16" s="18"/>
      <c r="Q16" s="17"/>
      <c r="R16" s="19"/>
    </row>
    <row r="17" spans="1:18" ht="27.5">
      <c r="A17" s="12" t="s">
        <v>210</v>
      </c>
      <c r="B17" s="13"/>
      <c r="C17" s="13"/>
      <c r="D17" s="2"/>
      <c r="E17" s="24" t="s">
        <v>924</v>
      </c>
      <c r="F17" s="25"/>
      <c r="G17" s="26" t="s">
        <v>214</v>
      </c>
      <c r="H17" s="26" t="s">
        <v>215</v>
      </c>
      <c r="I17" s="26" t="s">
        <v>219</v>
      </c>
      <c r="J17" s="26" t="s">
        <v>211</v>
      </c>
      <c r="K17" s="26" t="s">
        <v>216</v>
      </c>
      <c r="L17" s="26" t="s">
        <v>217</v>
      </c>
      <c r="M17" s="26" t="s">
        <v>220</v>
      </c>
      <c r="N17" s="26" t="s">
        <v>221</v>
      </c>
      <c r="O17" s="26" t="s">
        <v>208</v>
      </c>
      <c r="P17" s="27" t="s">
        <v>212</v>
      </c>
      <c r="Q17" s="2"/>
      <c r="R17" s="9" t="s">
        <v>213</v>
      </c>
    </row>
    <row r="18" spans="1:18" ht="39.5">
      <c r="A18" s="20" t="str">
        <f t="shared" ref="A18" si="3">IF(J18="","RESP","")</f>
        <v>RESP</v>
      </c>
      <c r="B18" s="20" t="str">
        <f t="shared" ref="B18" si="4">IF(M18="","INIT","")</f>
        <v>INIT</v>
      </c>
      <c r="C18" s="20" t="str">
        <f t="shared" ref="C18" si="5">IF(AND(J18="NO",O18=""),"CMTS","")</f>
        <v/>
      </c>
      <c r="D18" s="2"/>
      <c r="E18" s="28" t="s">
        <v>925</v>
      </c>
      <c r="F18" s="33" t="s">
        <v>159</v>
      </c>
      <c r="G18" s="30" t="s">
        <v>218</v>
      </c>
      <c r="H18" s="30" t="s">
        <v>218</v>
      </c>
      <c r="I18" s="30" t="s">
        <v>218</v>
      </c>
      <c r="J18" s="30"/>
      <c r="K18" s="30" t="s">
        <v>194</v>
      </c>
      <c r="L18" s="30"/>
      <c r="M18" s="30"/>
      <c r="N18" s="30"/>
      <c r="O18" s="31"/>
      <c r="P18" s="32"/>
      <c r="Q18" s="2"/>
      <c r="R18" s="10"/>
    </row>
    <row r="19" spans="1:18">
      <c r="A19" s="4"/>
      <c r="B19" s="4"/>
      <c r="C19" s="4"/>
      <c r="D19" s="5"/>
      <c r="E19" s="6"/>
      <c r="F19" s="21"/>
      <c r="G19" s="21"/>
      <c r="H19" s="21"/>
      <c r="I19" s="21"/>
      <c r="J19" s="21"/>
      <c r="K19" s="21"/>
      <c r="L19" s="21"/>
      <c r="M19" s="21"/>
      <c r="N19" s="21"/>
      <c r="O19" s="21"/>
      <c r="P19" s="21"/>
      <c r="Q19" s="5"/>
      <c r="R19" s="8"/>
    </row>
    <row r="20" spans="1:18">
      <c r="A20" s="4"/>
      <c r="B20" s="4"/>
      <c r="C20" s="4"/>
      <c r="D20" s="5"/>
      <c r="E20" s="6"/>
      <c r="F20" s="5"/>
      <c r="G20" s="5"/>
      <c r="H20" s="5"/>
      <c r="I20" s="5"/>
      <c r="J20" s="7"/>
      <c r="K20" s="7"/>
      <c r="L20" s="7"/>
      <c r="M20" s="7"/>
      <c r="N20" s="7"/>
      <c r="O20" s="5"/>
      <c r="Q20" s="5"/>
      <c r="R20" s="8"/>
    </row>
    <row r="21" spans="1:18" ht="27.5">
      <c r="A21" s="12" t="s">
        <v>210</v>
      </c>
      <c r="B21" s="13"/>
      <c r="C21" s="13"/>
      <c r="D21" s="2"/>
      <c r="E21" s="24" t="s">
        <v>437</v>
      </c>
      <c r="F21" s="34"/>
      <c r="G21" s="26" t="s">
        <v>214</v>
      </c>
      <c r="H21" s="26" t="s">
        <v>215</v>
      </c>
      <c r="I21" s="26" t="s">
        <v>219</v>
      </c>
      <c r="J21" s="26" t="s">
        <v>211</v>
      </c>
      <c r="K21" s="26" t="s">
        <v>216</v>
      </c>
      <c r="L21" s="26" t="s">
        <v>217</v>
      </c>
      <c r="M21" s="26" t="s">
        <v>220</v>
      </c>
      <c r="N21" s="26" t="s">
        <v>221</v>
      </c>
      <c r="O21" s="26" t="s">
        <v>208</v>
      </c>
      <c r="P21" s="27" t="s">
        <v>249</v>
      </c>
      <c r="Q21" s="2"/>
      <c r="R21" s="9" t="s">
        <v>213</v>
      </c>
    </row>
    <row r="22" spans="1:18" ht="26.5">
      <c r="A22" s="20" t="str">
        <f t="shared" ref="A22:A29" si="6">IF(J22="","RESP","")</f>
        <v>RESP</v>
      </c>
      <c r="B22" s="20" t="str">
        <f t="shared" ref="B22:B29" si="7">IF(M22="","INIT","")</f>
        <v>INIT</v>
      </c>
      <c r="C22" s="20" t="str">
        <f t="shared" ref="C22:C29" si="8">IF(AND(J22="NO",O22=""),"CMTS","")</f>
        <v/>
      </c>
      <c r="D22" s="5"/>
      <c r="E22" s="28" t="s">
        <v>439</v>
      </c>
      <c r="F22" s="33" t="s">
        <v>926</v>
      </c>
      <c r="G22" s="30" t="s">
        <v>218</v>
      </c>
      <c r="H22" s="30" t="s">
        <v>218</v>
      </c>
      <c r="I22" s="30" t="s">
        <v>218</v>
      </c>
      <c r="J22" s="30"/>
      <c r="K22" s="30" t="s">
        <v>194</v>
      </c>
      <c r="L22" s="30"/>
      <c r="M22" s="30"/>
      <c r="N22" s="30"/>
      <c r="O22" s="31"/>
      <c r="P22" s="32"/>
      <c r="Q22" s="5"/>
      <c r="R22" s="10"/>
    </row>
    <row r="23" spans="1:18">
      <c r="A23" s="20" t="str">
        <f t="shared" si="6"/>
        <v>RESP</v>
      </c>
      <c r="B23" s="20" t="str">
        <f t="shared" si="7"/>
        <v>INIT</v>
      </c>
      <c r="C23" s="20" t="str">
        <f t="shared" si="8"/>
        <v/>
      </c>
      <c r="D23" s="5"/>
      <c r="E23" s="28" t="s">
        <v>440</v>
      </c>
      <c r="F23" s="33" t="s">
        <v>34</v>
      </c>
      <c r="G23" s="30" t="s">
        <v>218</v>
      </c>
      <c r="H23" s="30" t="s">
        <v>218</v>
      </c>
      <c r="I23" s="30" t="s">
        <v>218</v>
      </c>
      <c r="J23" s="30"/>
      <c r="K23" s="30" t="s">
        <v>194</v>
      </c>
      <c r="L23" s="30"/>
      <c r="M23" s="30"/>
      <c r="N23" s="30"/>
      <c r="O23" s="31"/>
      <c r="P23" s="32"/>
      <c r="Q23" s="5"/>
      <c r="R23" s="10"/>
    </row>
    <row r="24" spans="1:18">
      <c r="A24" s="20" t="str">
        <f t="shared" si="6"/>
        <v>RESP</v>
      </c>
      <c r="B24" s="20" t="str">
        <f t="shared" si="7"/>
        <v>INIT</v>
      </c>
      <c r="C24" s="20" t="str">
        <f t="shared" si="8"/>
        <v/>
      </c>
      <c r="D24" s="5"/>
      <c r="E24" s="28" t="s">
        <v>441</v>
      </c>
      <c r="F24" s="33" t="s">
        <v>35</v>
      </c>
      <c r="G24" s="30" t="s">
        <v>218</v>
      </c>
      <c r="H24" s="30" t="s">
        <v>218</v>
      </c>
      <c r="I24" s="30" t="s">
        <v>218</v>
      </c>
      <c r="J24" s="30"/>
      <c r="K24" s="30" t="s">
        <v>194</v>
      </c>
      <c r="L24" s="30"/>
      <c r="M24" s="30"/>
      <c r="N24" s="30"/>
      <c r="O24" s="31"/>
      <c r="P24" s="32"/>
      <c r="Q24" s="5"/>
      <c r="R24" s="10"/>
    </row>
    <row r="25" spans="1:18">
      <c r="A25" s="20" t="str">
        <f t="shared" si="6"/>
        <v>RESP</v>
      </c>
      <c r="B25" s="20" t="str">
        <f t="shared" si="7"/>
        <v>INIT</v>
      </c>
      <c r="C25" s="20" t="str">
        <f t="shared" si="8"/>
        <v/>
      </c>
      <c r="D25" s="5"/>
      <c r="E25" s="28" t="s">
        <v>442</v>
      </c>
      <c r="F25" s="33" t="s">
        <v>36</v>
      </c>
      <c r="G25" s="30" t="s">
        <v>218</v>
      </c>
      <c r="H25" s="30" t="s">
        <v>218</v>
      </c>
      <c r="I25" s="30" t="s">
        <v>218</v>
      </c>
      <c r="J25" s="30"/>
      <c r="K25" s="30" t="s">
        <v>194</v>
      </c>
      <c r="L25" s="30"/>
      <c r="M25" s="30"/>
      <c r="N25" s="30"/>
      <c r="O25" s="31"/>
      <c r="P25" s="32"/>
      <c r="Q25" s="5"/>
      <c r="R25" s="10"/>
    </row>
    <row r="26" spans="1:18">
      <c r="A26" s="20" t="str">
        <f t="shared" si="6"/>
        <v>RESP</v>
      </c>
      <c r="B26" s="20" t="str">
        <f t="shared" si="7"/>
        <v>INIT</v>
      </c>
      <c r="C26" s="20" t="str">
        <f t="shared" si="8"/>
        <v/>
      </c>
      <c r="D26" s="5"/>
      <c r="E26" s="28" t="s">
        <v>443</v>
      </c>
      <c r="F26" s="33" t="s">
        <v>37</v>
      </c>
      <c r="G26" s="30" t="s">
        <v>218</v>
      </c>
      <c r="H26" s="30" t="s">
        <v>218</v>
      </c>
      <c r="I26" s="30" t="s">
        <v>218</v>
      </c>
      <c r="J26" s="30"/>
      <c r="K26" s="30" t="s">
        <v>144</v>
      </c>
      <c r="L26" s="30"/>
      <c r="M26" s="30"/>
      <c r="N26" s="30"/>
      <c r="O26" s="31"/>
      <c r="P26" s="32"/>
      <c r="Q26" s="5"/>
      <c r="R26" s="10"/>
    </row>
    <row r="27" spans="1:18">
      <c r="A27" s="20" t="str">
        <f t="shared" si="6"/>
        <v>RESP</v>
      </c>
      <c r="B27" s="20" t="str">
        <f t="shared" si="7"/>
        <v>INIT</v>
      </c>
      <c r="C27" s="20" t="str">
        <f t="shared" si="8"/>
        <v/>
      </c>
      <c r="D27" s="5"/>
      <c r="E27" s="28" t="s">
        <v>444</v>
      </c>
      <c r="F27" s="33" t="s">
        <v>38</v>
      </c>
      <c r="G27" s="30" t="s">
        <v>218</v>
      </c>
      <c r="H27" s="30" t="s">
        <v>218</v>
      </c>
      <c r="I27" s="30" t="s">
        <v>218</v>
      </c>
      <c r="J27" s="30"/>
      <c r="K27" s="30" t="s">
        <v>144</v>
      </c>
      <c r="L27" s="30"/>
      <c r="M27" s="30"/>
      <c r="N27" s="30"/>
      <c r="O27" s="31"/>
      <c r="P27" s="32"/>
      <c r="Q27" s="5"/>
      <c r="R27" s="10"/>
    </row>
    <row r="28" spans="1:18">
      <c r="A28" s="20" t="str">
        <f t="shared" si="6"/>
        <v>RESP</v>
      </c>
      <c r="B28" s="20" t="str">
        <f t="shared" si="7"/>
        <v>INIT</v>
      </c>
      <c r="C28" s="20" t="str">
        <f t="shared" si="8"/>
        <v/>
      </c>
      <c r="D28" s="5"/>
      <c r="E28" s="28" t="s">
        <v>445</v>
      </c>
      <c r="F28" s="33" t="s">
        <v>105</v>
      </c>
      <c r="G28" s="30" t="s">
        <v>218</v>
      </c>
      <c r="H28" s="30" t="s">
        <v>218</v>
      </c>
      <c r="I28" s="30" t="s">
        <v>218</v>
      </c>
      <c r="J28" s="30"/>
      <c r="K28" s="30" t="s">
        <v>194</v>
      </c>
      <c r="L28" s="30"/>
      <c r="M28" s="30"/>
      <c r="N28" s="30"/>
      <c r="O28" s="31"/>
      <c r="P28" s="32"/>
      <c r="Q28" s="5"/>
      <c r="R28" s="10"/>
    </row>
    <row r="29" spans="1:18">
      <c r="A29" s="20" t="str">
        <f t="shared" si="6"/>
        <v>RESP</v>
      </c>
      <c r="B29" s="20" t="str">
        <f t="shared" si="7"/>
        <v>INIT</v>
      </c>
      <c r="C29" s="20" t="str">
        <f t="shared" si="8"/>
        <v/>
      </c>
      <c r="D29" s="5"/>
      <c r="E29" s="28" t="s">
        <v>446</v>
      </c>
      <c r="F29" s="33" t="s">
        <v>438</v>
      </c>
      <c r="G29" s="30" t="s">
        <v>218</v>
      </c>
      <c r="H29" s="30" t="s">
        <v>218</v>
      </c>
      <c r="I29" s="30" t="s">
        <v>218</v>
      </c>
      <c r="J29" s="30"/>
      <c r="K29" s="30" t="s">
        <v>194</v>
      </c>
      <c r="L29" s="30"/>
      <c r="M29" s="30"/>
      <c r="N29" s="30"/>
      <c r="O29" s="31"/>
      <c r="P29" s="32"/>
      <c r="Q29" s="5"/>
      <c r="R29" s="10"/>
    </row>
    <row r="32" spans="1:18" ht="27.5">
      <c r="A32" s="12" t="s">
        <v>210</v>
      </c>
      <c r="B32" s="13"/>
      <c r="C32" s="13"/>
      <c r="D32" s="2"/>
      <c r="E32" s="24" t="s">
        <v>927</v>
      </c>
      <c r="F32" s="34"/>
      <c r="G32" s="26" t="s">
        <v>214</v>
      </c>
      <c r="H32" s="26" t="s">
        <v>215</v>
      </c>
      <c r="I32" s="26" t="s">
        <v>219</v>
      </c>
      <c r="J32" s="26" t="s">
        <v>211</v>
      </c>
      <c r="K32" s="26" t="s">
        <v>216</v>
      </c>
      <c r="L32" s="26" t="s">
        <v>217</v>
      </c>
      <c r="M32" s="26" t="s">
        <v>220</v>
      </c>
      <c r="N32" s="26" t="s">
        <v>221</v>
      </c>
      <c r="O32" s="26" t="s">
        <v>208</v>
      </c>
      <c r="P32" s="27" t="s">
        <v>249</v>
      </c>
      <c r="Q32" s="2"/>
      <c r="R32" s="9" t="s">
        <v>213</v>
      </c>
    </row>
    <row r="33" spans="1:18" ht="39.5">
      <c r="A33" s="20" t="str">
        <f t="shared" ref="A33:A34" si="9">IF(J33="","RESP","")</f>
        <v>RESP</v>
      </c>
      <c r="B33" s="20" t="str">
        <f t="shared" ref="B33:B34" si="10">IF(M33="","INIT","")</f>
        <v>INIT</v>
      </c>
      <c r="C33" s="20" t="str">
        <f t="shared" ref="C33:C34" si="11">IF(AND(J33="NO",O33=""),"CMTS","")</f>
        <v/>
      </c>
      <c r="D33" s="5"/>
      <c r="E33" s="28" t="s">
        <v>928</v>
      </c>
      <c r="F33" s="33" t="s">
        <v>195</v>
      </c>
      <c r="G33" s="30" t="s">
        <v>218</v>
      </c>
      <c r="H33" s="30" t="s">
        <v>218</v>
      </c>
      <c r="I33" s="30" t="s">
        <v>218</v>
      </c>
      <c r="J33" s="30"/>
      <c r="K33" s="30" t="s">
        <v>194</v>
      </c>
      <c r="L33" s="30"/>
      <c r="M33" s="30"/>
      <c r="N33" s="30"/>
      <c r="O33" s="31"/>
      <c r="P33" s="32"/>
      <c r="Q33" s="5"/>
      <c r="R33" s="10"/>
    </row>
    <row r="34" spans="1:18" ht="39.5">
      <c r="A34" s="20" t="str">
        <f t="shared" si="9"/>
        <v>RESP</v>
      </c>
      <c r="B34" s="20" t="str">
        <f t="shared" si="10"/>
        <v>INIT</v>
      </c>
      <c r="C34" s="20" t="str">
        <f t="shared" si="11"/>
        <v/>
      </c>
      <c r="D34" s="5"/>
      <c r="E34" s="28" t="s">
        <v>929</v>
      </c>
      <c r="F34" s="33" t="s">
        <v>196</v>
      </c>
      <c r="G34" s="30" t="s">
        <v>218</v>
      </c>
      <c r="H34" s="30" t="s">
        <v>218</v>
      </c>
      <c r="I34" s="30" t="s">
        <v>218</v>
      </c>
      <c r="J34" s="30"/>
      <c r="K34" s="30" t="s">
        <v>194</v>
      </c>
      <c r="L34" s="30"/>
      <c r="M34" s="30"/>
      <c r="N34" s="30"/>
      <c r="O34" s="31"/>
      <c r="P34" s="32"/>
      <c r="Q34" s="5"/>
      <c r="R34" s="10"/>
    </row>
    <row r="37" spans="1:18" ht="27.5">
      <c r="A37" s="12" t="s">
        <v>210</v>
      </c>
      <c r="B37" s="13"/>
      <c r="C37" s="13"/>
      <c r="D37" s="2"/>
      <c r="E37" s="22" t="s">
        <v>447</v>
      </c>
      <c r="F37" s="23"/>
      <c r="G37" s="40" t="s">
        <v>214</v>
      </c>
      <c r="H37" s="40" t="s">
        <v>215</v>
      </c>
      <c r="I37" s="40" t="s">
        <v>219</v>
      </c>
      <c r="J37" s="40" t="s">
        <v>211</v>
      </c>
      <c r="K37" s="40" t="s">
        <v>216</v>
      </c>
      <c r="L37" s="40" t="s">
        <v>217</v>
      </c>
      <c r="M37" s="40" t="s">
        <v>220</v>
      </c>
      <c r="N37" s="40" t="s">
        <v>221</v>
      </c>
      <c r="O37" s="40" t="s">
        <v>208</v>
      </c>
      <c r="P37" s="41" t="s">
        <v>249</v>
      </c>
      <c r="Q37" s="2"/>
      <c r="R37" s="9" t="s">
        <v>213</v>
      </c>
    </row>
    <row r="38" spans="1:18">
      <c r="A38" s="20" t="str">
        <f t="shared" ref="A38:A43" si="12">IF(J38="","RESP","")</f>
        <v>RESP</v>
      </c>
      <c r="B38" s="20" t="str">
        <f t="shared" ref="B38:B43" si="13">IF(M38="","INIT","")</f>
        <v>INIT</v>
      </c>
      <c r="C38" s="20" t="str">
        <f t="shared" ref="C38:C43" si="14">IF(AND(J38="NO",O38=""),"CMTS","")</f>
        <v/>
      </c>
      <c r="D38" s="5"/>
      <c r="E38" s="28" t="s">
        <v>470</v>
      </c>
      <c r="F38" s="36" t="s">
        <v>448</v>
      </c>
      <c r="G38" s="30" t="s">
        <v>218</v>
      </c>
      <c r="H38" s="30" t="s">
        <v>218</v>
      </c>
      <c r="I38" s="30" t="s">
        <v>218</v>
      </c>
      <c r="J38" s="30"/>
      <c r="K38" s="30" t="s">
        <v>194</v>
      </c>
      <c r="L38" s="30"/>
      <c r="M38" s="30"/>
      <c r="N38" s="30"/>
      <c r="O38" s="31"/>
      <c r="P38" s="32"/>
      <c r="Q38" s="5"/>
      <c r="R38" s="10"/>
    </row>
    <row r="39" spans="1:18">
      <c r="A39" s="20" t="str">
        <f t="shared" si="12"/>
        <v>RESP</v>
      </c>
      <c r="B39" s="20" t="str">
        <f t="shared" si="13"/>
        <v>INIT</v>
      </c>
      <c r="C39" s="20" t="str">
        <f t="shared" si="14"/>
        <v/>
      </c>
      <c r="D39" s="5"/>
      <c r="E39" s="28" t="s">
        <v>471</v>
      </c>
      <c r="F39" s="36" t="s">
        <v>39</v>
      </c>
      <c r="G39" s="30" t="s">
        <v>218</v>
      </c>
      <c r="H39" s="30" t="s">
        <v>218</v>
      </c>
      <c r="I39" s="30" t="s">
        <v>218</v>
      </c>
      <c r="J39" s="30"/>
      <c r="K39" s="30" t="s">
        <v>194</v>
      </c>
      <c r="L39" s="30"/>
      <c r="M39" s="30"/>
      <c r="N39" s="30"/>
      <c r="O39" s="31"/>
      <c r="P39" s="32"/>
      <c r="Q39" s="5"/>
      <c r="R39" s="10"/>
    </row>
    <row r="40" spans="1:18">
      <c r="A40" s="20" t="str">
        <f t="shared" si="12"/>
        <v>RESP</v>
      </c>
      <c r="B40" s="20" t="str">
        <f t="shared" si="13"/>
        <v>INIT</v>
      </c>
      <c r="C40" s="20" t="str">
        <f t="shared" si="14"/>
        <v/>
      </c>
      <c r="D40" s="5"/>
      <c r="E40" s="28" t="s">
        <v>472</v>
      </c>
      <c r="F40" s="36" t="s">
        <v>148</v>
      </c>
      <c r="G40" s="30" t="s">
        <v>218</v>
      </c>
      <c r="H40" s="30" t="s">
        <v>218</v>
      </c>
      <c r="I40" s="30" t="s">
        <v>218</v>
      </c>
      <c r="J40" s="30"/>
      <c r="K40" s="30" t="s">
        <v>194</v>
      </c>
      <c r="L40" s="30"/>
      <c r="M40" s="30"/>
      <c r="N40" s="30"/>
      <c r="O40" s="31"/>
      <c r="P40" s="32"/>
      <c r="Q40" s="5"/>
      <c r="R40" s="10"/>
    </row>
    <row r="41" spans="1:18">
      <c r="A41" s="20" t="str">
        <f t="shared" si="12"/>
        <v>RESP</v>
      </c>
      <c r="B41" s="20" t="str">
        <f t="shared" si="13"/>
        <v>INIT</v>
      </c>
      <c r="C41" s="20" t="str">
        <f t="shared" si="14"/>
        <v/>
      </c>
      <c r="D41" s="5"/>
      <c r="E41" s="28" t="s">
        <v>473</v>
      </c>
      <c r="F41" s="36" t="s">
        <v>40</v>
      </c>
      <c r="G41" s="30" t="s">
        <v>218</v>
      </c>
      <c r="H41" s="30" t="s">
        <v>218</v>
      </c>
      <c r="I41" s="30" t="s">
        <v>218</v>
      </c>
      <c r="J41" s="30"/>
      <c r="K41" s="30" t="s">
        <v>194</v>
      </c>
      <c r="L41" s="30"/>
      <c r="M41" s="30"/>
      <c r="N41" s="30"/>
      <c r="O41" s="31"/>
      <c r="P41" s="32"/>
      <c r="Q41" s="5"/>
      <c r="R41" s="10"/>
    </row>
    <row r="42" spans="1:18" ht="26.5">
      <c r="A42" s="20" t="str">
        <f t="shared" si="12"/>
        <v>RESP</v>
      </c>
      <c r="B42" s="20" t="str">
        <f t="shared" si="13"/>
        <v>INIT</v>
      </c>
      <c r="C42" s="20" t="str">
        <f t="shared" si="14"/>
        <v/>
      </c>
      <c r="D42" s="5"/>
      <c r="E42" s="28" t="s">
        <v>474</v>
      </c>
      <c r="F42" s="36" t="s">
        <v>449</v>
      </c>
      <c r="G42" s="30" t="s">
        <v>218</v>
      </c>
      <c r="H42" s="30" t="s">
        <v>218</v>
      </c>
      <c r="I42" s="30" t="s">
        <v>218</v>
      </c>
      <c r="J42" s="30"/>
      <c r="K42" s="30" t="s">
        <v>194</v>
      </c>
      <c r="L42" s="30"/>
      <c r="M42" s="30"/>
      <c r="N42" s="30"/>
      <c r="O42" s="31"/>
      <c r="P42" s="32"/>
      <c r="Q42" s="5"/>
      <c r="R42" s="10"/>
    </row>
    <row r="43" spans="1:18" ht="26.5">
      <c r="A43" s="20" t="str">
        <f t="shared" si="12"/>
        <v>RESP</v>
      </c>
      <c r="B43" s="20" t="str">
        <f t="shared" si="13"/>
        <v>INIT</v>
      </c>
      <c r="C43" s="20" t="str">
        <f t="shared" si="14"/>
        <v/>
      </c>
      <c r="D43" s="5"/>
      <c r="E43" s="28" t="s">
        <v>475</v>
      </c>
      <c r="F43" s="36" t="s">
        <v>183</v>
      </c>
      <c r="G43" s="30" t="s">
        <v>218</v>
      </c>
      <c r="H43" s="30" t="s">
        <v>218</v>
      </c>
      <c r="I43" s="30" t="s">
        <v>218</v>
      </c>
      <c r="J43" s="30"/>
      <c r="K43" s="30" t="s">
        <v>194</v>
      </c>
      <c r="L43" s="30"/>
      <c r="M43" s="30"/>
      <c r="N43" s="30"/>
      <c r="O43" s="31"/>
      <c r="P43" s="32"/>
      <c r="Q43" s="5"/>
      <c r="R43" s="10"/>
    </row>
    <row r="46" spans="1:18" ht="27.5">
      <c r="A46" s="12" t="s">
        <v>210</v>
      </c>
      <c r="B46" s="13"/>
      <c r="C46" s="13"/>
      <c r="D46" s="2"/>
      <c r="E46" s="24" t="s">
        <v>930</v>
      </c>
      <c r="F46" s="34"/>
      <c r="G46" s="26" t="s">
        <v>214</v>
      </c>
      <c r="H46" s="26" t="s">
        <v>215</v>
      </c>
      <c r="I46" s="26" t="s">
        <v>219</v>
      </c>
      <c r="J46" s="26" t="s">
        <v>211</v>
      </c>
      <c r="K46" s="26" t="s">
        <v>216</v>
      </c>
      <c r="L46" s="26" t="s">
        <v>217</v>
      </c>
      <c r="M46" s="26" t="s">
        <v>220</v>
      </c>
      <c r="N46" s="26" t="s">
        <v>221</v>
      </c>
      <c r="O46" s="26" t="s">
        <v>208</v>
      </c>
      <c r="P46" s="27" t="s">
        <v>249</v>
      </c>
      <c r="Q46" s="2"/>
      <c r="R46" s="9" t="s">
        <v>213</v>
      </c>
    </row>
    <row r="47" spans="1:18" ht="39.5">
      <c r="A47" s="20" t="str">
        <f t="shared" ref="A47" si="15">IF(J47="","RESP","")</f>
        <v>RESP</v>
      </c>
      <c r="B47" s="20" t="str">
        <f t="shared" ref="B47" si="16">IF(M47="","INIT","")</f>
        <v>INIT</v>
      </c>
      <c r="C47" s="20" t="str">
        <f t="shared" ref="C47" si="17">IF(AND(J47="NO",O47=""),"CMTS","")</f>
        <v/>
      </c>
      <c r="D47" s="5"/>
      <c r="E47" s="28" t="s">
        <v>931</v>
      </c>
      <c r="F47" s="36" t="s">
        <v>184</v>
      </c>
      <c r="G47" s="30" t="s">
        <v>218</v>
      </c>
      <c r="H47" s="30" t="s">
        <v>254</v>
      </c>
      <c r="I47" s="30" t="s">
        <v>218</v>
      </c>
      <c r="J47" s="30"/>
      <c r="K47" s="30" t="s">
        <v>194</v>
      </c>
      <c r="L47" s="30"/>
      <c r="M47" s="30"/>
      <c r="N47" s="30"/>
      <c r="O47" s="31"/>
      <c r="P47" s="32"/>
      <c r="Q47" s="5"/>
      <c r="R47" s="10"/>
    </row>
    <row r="50" spans="1:18" ht="27.5">
      <c r="A50" s="12" t="s">
        <v>210</v>
      </c>
      <c r="B50" s="13"/>
      <c r="C50" s="13"/>
      <c r="D50" s="2"/>
      <c r="E50" s="22" t="s">
        <v>450</v>
      </c>
      <c r="F50" s="23"/>
      <c r="G50" s="40" t="s">
        <v>214</v>
      </c>
      <c r="H50" s="40" t="s">
        <v>215</v>
      </c>
      <c r="I50" s="40" t="s">
        <v>219</v>
      </c>
      <c r="J50" s="40" t="s">
        <v>211</v>
      </c>
      <c r="K50" s="40" t="s">
        <v>216</v>
      </c>
      <c r="L50" s="40" t="s">
        <v>217</v>
      </c>
      <c r="M50" s="40" t="s">
        <v>220</v>
      </c>
      <c r="N50" s="40" t="s">
        <v>221</v>
      </c>
      <c r="O50" s="40" t="s">
        <v>208</v>
      </c>
      <c r="P50" s="41" t="s">
        <v>249</v>
      </c>
      <c r="Q50" s="2"/>
      <c r="R50" s="9" t="s">
        <v>213</v>
      </c>
    </row>
    <row r="51" spans="1:18">
      <c r="A51" s="20" t="str">
        <f t="shared" ref="A51:A52" si="18">IF(J51="","RESP","")</f>
        <v>RESP</v>
      </c>
      <c r="B51" s="20" t="str">
        <f t="shared" ref="B51:B52" si="19">IF(M51="","INIT","")</f>
        <v>INIT</v>
      </c>
      <c r="C51" s="20" t="str">
        <f t="shared" ref="C51:C52" si="20">IF(AND(J51="NO",O51=""),"CMTS","")</f>
        <v/>
      </c>
      <c r="D51" s="5"/>
      <c r="E51" s="28" t="s">
        <v>451</v>
      </c>
      <c r="F51" s="36" t="s">
        <v>938</v>
      </c>
      <c r="G51" s="30" t="s">
        <v>223</v>
      </c>
      <c r="H51" s="30" t="s">
        <v>218</v>
      </c>
      <c r="I51" s="30" t="s">
        <v>218</v>
      </c>
      <c r="J51" s="30"/>
      <c r="K51" s="30" t="s">
        <v>194</v>
      </c>
      <c r="L51" s="30"/>
      <c r="M51" s="30"/>
      <c r="N51" s="30"/>
      <c r="O51" s="31"/>
      <c r="P51" s="32"/>
      <c r="Q51" s="5"/>
      <c r="R51" s="10"/>
    </row>
    <row r="52" spans="1:18">
      <c r="A52" s="20" t="str">
        <f t="shared" si="18"/>
        <v>RESP</v>
      </c>
      <c r="B52" s="20" t="str">
        <f t="shared" si="19"/>
        <v>INIT</v>
      </c>
      <c r="C52" s="20" t="str">
        <f t="shared" si="20"/>
        <v/>
      </c>
      <c r="D52" s="5"/>
      <c r="E52" s="28" t="s">
        <v>452</v>
      </c>
      <c r="F52" s="36" t="s">
        <v>939</v>
      </c>
      <c r="G52" s="30" t="s">
        <v>223</v>
      </c>
      <c r="H52" s="30" t="s">
        <v>218</v>
      </c>
      <c r="I52" s="30" t="s">
        <v>218</v>
      </c>
      <c r="J52" s="30"/>
      <c r="K52" s="30" t="s">
        <v>194</v>
      </c>
      <c r="L52" s="30"/>
      <c r="M52" s="30"/>
      <c r="N52" s="30"/>
      <c r="O52" s="31"/>
      <c r="P52" s="32"/>
      <c r="Q52" s="5"/>
      <c r="R52" s="10"/>
    </row>
    <row r="55" spans="1:18" ht="27.5">
      <c r="A55" s="12" t="s">
        <v>210</v>
      </c>
      <c r="B55" s="13"/>
      <c r="C55" s="13"/>
      <c r="D55" s="2"/>
      <c r="E55" s="22" t="s">
        <v>932</v>
      </c>
      <c r="F55" s="23"/>
      <c r="G55" s="40" t="s">
        <v>214</v>
      </c>
      <c r="H55" s="40" t="s">
        <v>215</v>
      </c>
      <c r="I55" s="40" t="s">
        <v>219</v>
      </c>
      <c r="J55" s="40" t="s">
        <v>211</v>
      </c>
      <c r="K55" s="40" t="s">
        <v>216</v>
      </c>
      <c r="L55" s="40" t="s">
        <v>217</v>
      </c>
      <c r="M55" s="40" t="s">
        <v>220</v>
      </c>
      <c r="N55" s="40" t="s">
        <v>221</v>
      </c>
      <c r="O55" s="40" t="s">
        <v>208</v>
      </c>
      <c r="P55" s="41" t="s">
        <v>249</v>
      </c>
      <c r="Q55" s="2"/>
      <c r="R55" s="9" t="s">
        <v>213</v>
      </c>
    </row>
    <row r="56" spans="1:18" ht="26.5">
      <c r="A56" s="20" t="str">
        <f t="shared" ref="A56" si="21">IF(J56="","RESP","")</f>
        <v>RESP</v>
      </c>
      <c r="B56" s="20" t="str">
        <f t="shared" ref="B56" si="22">IF(M56="","INIT","")</f>
        <v>INIT</v>
      </c>
      <c r="C56" s="20" t="str">
        <f t="shared" ref="C56" si="23">IF(AND(J56="NO",O56=""),"CMTS","")</f>
        <v/>
      </c>
      <c r="D56" s="5"/>
      <c r="E56" s="28" t="s">
        <v>933</v>
      </c>
      <c r="F56" s="36" t="s">
        <v>106</v>
      </c>
      <c r="G56" s="30" t="s">
        <v>223</v>
      </c>
      <c r="H56" s="30" t="s">
        <v>229</v>
      </c>
      <c r="I56" s="30" t="s">
        <v>225</v>
      </c>
      <c r="J56" s="30"/>
      <c r="K56" s="30" t="s">
        <v>194</v>
      </c>
      <c r="L56" s="30"/>
      <c r="M56" s="30"/>
      <c r="N56" s="30"/>
      <c r="O56" s="31"/>
      <c r="P56" s="32"/>
      <c r="Q56" s="5"/>
      <c r="R56" s="10"/>
    </row>
    <row r="57" spans="1:18">
      <c r="A57" s="4"/>
      <c r="B57" s="4"/>
      <c r="C57" s="4"/>
      <c r="D57" s="5"/>
      <c r="E57" s="49"/>
      <c r="F57" s="49"/>
      <c r="G57" s="46"/>
      <c r="H57" s="46"/>
      <c r="I57" s="46"/>
      <c r="J57" s="46"/>
      <c r="K57" s="46"/>
      <c r="L57" s="46"/>
      <c r="M57" s="46"/>
      <c r="N57" s="46"/>
      <c r="O57" s="47"/>
      <c r="P57" s="48"/>
      <c r="Q57" s="5"/>
      <c r="R57" s="8"/>
    </row>
    <row r="59" spans="1:18" ht="27.5">
      <c r="A59" s="12" t="s">
        <v>210</v>
      </c>
      <c r="B59" s="13"/>
      <c r="C59" s="13"/>
      <c r="D59" s="2"/>
      <c r="E59" s="22" t="s">
        <v>453</v>
      </c>
      <c r="F59" s="23"/>
      <c r="G59" s="40" t="s">
        <v>214</v>
      </c>
      <c r="H59" s="40" t="s">
        <v>215</v>
      </c>
      <c r="I59" s="40" t="s">
        <v>219</v>
      </c>
      <c r="J59" s="40" t="s">
        <v>211</v>
      </c>
      <c r="K59" s="40" t="s">
        <v>216</v>
      </c>
      <c r="L59" s="40" t="s">
        <v>217</v>
      </c>
      <c r="M59" s="40" t="s">
        <v>220</v>
      </c>
      <c r="N59" s="40" t="s">
        <v>221</v>
      </c>
      <c r="O59" s="40" t="s">
        <v>208</v>
      </c>
      <c r="P59" s="41" t="s">
        <v>249</v>
      </c>
      <c r="Q59" s="2"/>
      <c r="R59" s="9" t="s">
        <v>213</v>
      </c>
    </row>
    <row r="60" spans="1:18">
      <c r="A60" s="20" t="str">
        <f t="shared" ref="A60:A61" si="24">IF(J60="","RESP","")</f>
        <v>RESP</v>
      </c>
      <c r="B60" s="20" t="str">
        <f t="shared" ref="B60:B61" si="25">IF(M60="","INIT","")</f>
        <v>INIT</v>
      </c>
      <c r="C60" s="20" t="str">
        <f t="shared" ref="C60:C61" si="26">IF(AND(J60="NO",O60=""),"CMTS","")</f>
        <v/>
      </c>
      <c r="D60" s="5"/>
      <c r="E60" s="28" t="s">
        <v>455</v>
      </c>
      <c r="F60" s="36" t="s">
        <v>454</v>
      </c>
      <c r="G60" s="30" t="s">
        <v>223</v>
      </c>
      <c r="H60" s="30" t="s">
        <v>218</v>
      </c>
      <c r="I60" s="30" t="s">
        <v>218</v>
      </c>
      <c r="J60" s="30"/>
      <c r="K60" s="30" t="s">
        <v>194</v>
      </c>
      <c r="L60" s="30"/>
      <c r="M60" s="30"/>
      <c r="N60" s="30"/>
      <c r="O60" s="31"/>
      <c r="P60" s="32"/>
      <c r="Q60" s="5"/>
      <c r="R60" s="10"/>
    </row>
    <row r="61" spans="1:18">
      <c r="A61" s="20" t="str">
        <f t="shared" si="24"/>
        <v>RESP</v>
      </c>
      <c r="B61" s="20" t="str">
        <f t="shared" si="25"/>
        <v>INIT</v>
      </c>
      <c r="C61" s="20" t="str">
        <f t="shared" si="26"/>
        <v/>
      </c>
      <c r="D61" s="5"/>
      <c r="E61" s="28" t="s">
        <v>456</v>
      </c>
      <c r="F61" s="36" t="s">
        <v>130</v>
      </c>
      <c r="G61" s="30" t="s">
        <v>223</v>
      </c>
      <c r="H61" s="30" t="s">
        <v>218</v>
      </c>
      <c r="I61" s="30" t="s">
        <v>218</v>
      </c>
      <c r="J61" s="30"/>
      <c r="K61" s="30" t="s">
        <v>194</v>
      </c>
      <c r="L61" s="30"/>
      <c r="M61" s="30"/>
      <c r="N61" s="30"/>
      <c r="O61" s="31"/>
      <c r="P61" s="32"/>
      <c r="Q61" s="5"/>
      <c r="R61" s="10"/>
    </row>
    <row r="62" spans="1:18">
      <c r="A62" s="20" t="str">
        <f t="shared" ref="A62" si="27">IF(J62="","RESP","")</f>
        <v>RESP</v>
      </c>
      <c r="B62" s="20" t="str">
        <f t="shared" ref="B62" si="28">IF(M62="","INIT","")</f>
        <v>INIT</v>
      </c>
      <c r="C62" s="20" t="str">
        <f t="shared" ref="C62" si="29">IF(AND(J62="NO",O62=""),"CMTS","")</f>
        <v/>
      </c>
      <c r="D62" s="5"/>
      <c r="E62" s="28" t="s">
        <v>1153</v>
      </c>
      <c r="F62" s="36" t="s">
        <v>1154</v>
      </c>
      <c r="G62" s="30" t="s">
        <v>223</v>
      </c>
      <c r="H62" s="30" t="s">
        <v>218</v>
      </c>
      <c r="I62" s="30" t="s">
        <v>218</v>
      </c>
      <c r="J62" s="30"/>
      <c r="K62" s="30" t="s">
        <v>194</v>
      </c>
      <c r="L62" s="30"/>
      <c r="M62" s="30"/>
      <c r="N62" s="30"/>
      <c r="O62" s="31"/>
      <c r="P62" s="32"/>
      <c r="Q62" s="5"/>
      <c r="R62" s="10"/>
    </row>
    <row r="65" spans="1:18" ht="27.5">
      <c r="A65" s="12" t="s">
        <v>210</v>
      </c>
      <c r="B65" s="13"/>
      <c r="C65" s="13"/>
      <c r="D65" s="2"/>
      <c r="E65" s="22" t="s">
        <v>940</v>
      </c>
      <c r="F65" s="23"/>
      <c r="G65" s="40" t="s">
        <v>214</v>
      </c>
      <c r="H65" s="40" t="s">
        <v>215</v>
      </c>
      <c r="I65" s="40" t="s">
        <v>219</v>
      </c>
      <c r="J65" s="40" t="s">
        <v>211</v>
      </c>
      <c r="K65" s="40" t="s">
        <v>216</v>
      </c>
      <c r="L65" s="40" t="s">
        <v>217</v>
      </c>
      <c r="M65" s="40" t="s">
        <v>220</v>
      </c>
      <c r="N65" s="40" t="s">
        <v>221</v>
      </c>
      <c r="O65" s="40" t="s">
        <v>208</v>
      </c>
      <c r="P65" s="41" t="s">
        <v>249</v>
      </c>
      <c r="Q65" s="2"/>
      <c r="R65" s="9" t="s">
        <v>213</v>
      </c>
    </row>
    <row r="66" spans="1:18" ht="26.5">
      <c r="A66" s="20" t="str">
        <f t="shared" ref="A66:A67" si="30">IF(J66="","RESP","")</f>
        <v>RESP</v>
      </c>
      <c r="B66" s="20" t="str">
        <f t="shared" ref="B66:B67" si="31">IF(M66="","INIT","")</f>
        <v>INIT</v>
      </c>
      <c r="C66" s="20" t="str">
        <f t="shared" ref="C66:C67" si="32">IF(AND(J66="NO",O66=""),"CMTS","")</f>
        <v/>
      </c>
      <c r="D66" s="5"/>
      <c r="E66" s="28" t="s">
        <v>941</v>
      </c>
      <c r="F66" s="36" t="s">
        <v>163</v>
      </c>
      <c r="G66" s="30" t="s">
        <v>223</v>
      </c>
      <c r="H66" s="30" t="s">
        <v>229</v>
      </c>
      <c r="I66" s="30" t="s">
        <v>218</v>
      </c>
      <c r="J66" s="30"/>
      <c r="K66" s="30" t="s">
        <v>194</v>
      </c>
      <c r="L66" s="30"/>
      <c r="M66" s="30"/>
      <c r="N66" s="30"/>
      <c r="O66" s="31"/>
      <c r="P66" s="32"/>
      <c r="Q66" s="5"/>
      <c r="R66" s="10"/>
    </row>
    <row r="67" spans="1:18" ht="26.5">
      <c r="A67" s="20" t="str">
        <f t="shared" si="30"/>
        <v>RESP</v>
      </c>
      <c r="B67" s="20" t="str">
        <f t="shared" si="31"/>
        <v>INIT</v>
      </c>
      <c r="C67" s="20" t="str">
        <f t="shared" si="32"/>
        <v/>
      </c>
      <c r="D67" s="5"/>
      <c r="E67" s="28" t="s">
        <v>942</v>
      </c>
      <c r="F67" s="36" t="s">
        <v>131</v>
      </c>
      <c r="G67" s="30" t="s">
        <v>223</v>
      </c>
      <c r="H67" s="30" t="s">
        <v>229</v>
      </c>
      <c r="I67" s="30" t="s">
        <v>218</v>
      </c>
      <c r="J67" s="30"/>
      <c r="K67" s="30" t="s">
        <v>194</v>
      </c>
      <c r="L67" s="30"/>
      <c r="M67" s="30"/>
      <c r="N67" s="30"/>
      <c r="O67" s="31"/>
      <c r="P67" s="32"/>
      <c r="Q67" s="5"/>
      <c r="R67" s="10"/>
    </row>
    <row r="70" spans="1:18" ht="27.5">
      <c r="A70" s="12" t="s">
        <v>210</v>
      </c>
      <c r="B70" s="13"/>
      <c r="C70" s="13"/>
      <c r="D70" s="2"/>
      <c r="E70" s="22" t="s">
        <v>457</v>
      </c>
      <c r="F70" s="23"/>
      <c r="G70" s="40" t="s">
        <v>214</v>
      </c>
      <c r="H70" s="40" t="s">
        <v>215</v>
      </c>
      <c r="I70" s="40" t="s">
        <v>219</v>
      </c>
      <c r="J70" s="40" t="s">
        <v>211</v>
      </c>
      <c r="K70" s="40" t="s">
        <v>216</v>
      </c>
      <c r="L70" s="40" t="s">
        <v>217</v>
      </c>
      <c r="M70" s="40" t="s">
        <v>220</v>
      </c>
      <c r="N70" s="40" t="s">
        <v>221</v>
      </c>
      <c r="O70" s="40" t="s">
        <v>208</v>
      </c>
      <c r="P70" s="41" t="s">
        <v>249</v>
      </c>
      <c r="Q70" s="2"/>
      <c r="R70" s="9" t="s">
        <v>213</v>
      </c>
    </row>
    <row r="71" spans="1:18">
      <c r="A71" s="20" t="str">
        <f t="shared" ref="A71:A72" si="33">IF(J71="","RESP","")</f>
        <v>RESP</v>
      </c>
      <c r="B71" s="20" t="str">
        <f t="shared" ref="B71:B72" si="34">IF(M71="","INIT","")</f>
        <v>INIT</v>
      </c>
      <c r="C71" s="20" t="str">
        <f t="shared" ref="C71:C72" si="35">IF(AND(J71="NO",O71=""),"CMTS","")</f>
        <v/>
      </c>
      <c r="D71" s="5"/>
      <c r="E71" s="28" t="s">
        <v>458</v>
      </c>
      <c r="F71" s="36" t="s">
        <v>934</v>
      </c>
      <c r="G71" s="30" t="s">
        <v>223</v>
      </c>
      <c r="H71" s="30" t="s">
        <v>218</v>
      </c>
      <c r="I71" s="30" t="s">
        <v>218</v>
      </c>
      <c r="J71" s="30"/>
      <c r="K71" s="30" t="s">
        <v>194</v>
      </c>
      <c r="L71" s="30"/>
      <c r="M71" s="30"/>
      <c r="N71" s="30"/>
      <c r="O71" s="31"/>
      <c r="P71" s="32"/>
      <c r="Q71" s="5"/>
      <c r="R71" s="10"/>
    </row>
    <row r="72" spans="1:18">
      <c r="A72" s="20" t="str">
        <f t="shared" si="33"/>
        <v>RESP</v>
      </c>
      <c r="B72" s="20" t="str">
        <f t="shared" si="34"/>
        <v>INIT</v>
      </c>
      <c r="C72" s="20" t="str">
        <f t="shared" si="35"/>
        <v/>
      </c>
      <c r="D72" s="5"/>
      <c r="E72" s="28" t="s">
        <v>459</v>
      </c>
      <c r="F72" s="36" t="s">
        <v>935</v>
      </c>
      <c r="G72" s="30" t="s">
        <v>223</v>
      </c>
      <c r="H72" s="30" t="s">
        <v>218</v>
      </c>
      <c r="I72" s="30" t="s">
        <v>218</v>
      </c>
      <c r="J72" s="30"/>
      <c r="K72" s="30" t="s">
        <v>194</v>
      </c>
      <c r="L72" s="30"/>
      <c r="M72" s="30"/>
      <c r="N72" s="30"/>
      <c r="O72" s="31"/>
      <c r="P72" s="32"/>
      <c r="Q72" s="5"/>
      <c r="R72" s="10"/>
    </row>
    <row r="75" spans="1:18" ht="27.5">
      <c r="A75" s="12" t="s">
        <v>210</v>
      </c>
      <c r="B75" s="13"/>
      <c r="C75" s="13"/>
      <c r="D75" s="2"/>
      <c r="E75" s="22" t="s">
        <v>936</v>
      </c>
      <c r="F75" s="23"/>
      <c r="G75" s="40" t="s">
        <v>214</v>
      </c>
      <c r="H75" s="40" t="s">
        <v>215</v>
      </c>
      <c r="I75" s="40" t="s">
        <v>219</v>
      </c>
      <c r="J75" s="40" t="s">
        <v>211</v>
      </c>
      <c r="K75" s="40" t="s">
        <v>216</v>
      </c>
      <c r="L75" s="40" t="s">
        <v>217</v>
      </c>
      <c r="M75" s="40" t="s">
        <v>220</v>
      </c>
      <c r="N75" s="40" t="s">
        <v>221</v>
      </c>
      <c r="O75" s="40" t="s">
        <v>208</v>
      </c>
      <c r="P75" s="41" t="s">
        <v>249</v>
      </c>
      <c r="Q75" s="2"/>
      <c r="R75" s="9" t="s">
        <v>213</v>
      </c>
    </row>
    <row r="76" spans="1:18">
      <c r="A76" s="20" t="str">
        <f t="shared" ref="A76" si="36">IF(J76="","RESP","")</f>
        <v>RESP</v>
      </c>
      <c r="B76" s="20" t="str">
        <f t="shared" ref="B76" si="37">IF(M76="","INIT","")</f>
        <v>INIT</v>
      </c>
      <c r="C76" s="20" t="str">
        <f t="shared" ref="C76" si="38">IF(AND(J76="NO",O76=""),"CMTS","")</f>
        <v/>
      </c>
      <c r="D76" s="5"/>
      <c r="E76" s="28" t="s">
        <v>460</v>
      </c>
      <c r="F76" s="36" t="s">
        <v>937</v>
      </c>
      <c r="G76" s="30" t="s">
        <v>223</v>
      </c>
      <c r="H76" s="30" t="s">
        <v>218</v>
      </c>
      <c r="I76" s="30" t="s">
        <v>218</v>
      </c>
      <c r="J76" s="30"/>
      <c r="K76" s="30" t="s">
        <v>194</v>
      </c>
      <c r="L76" s="30"/>
      <c r="M76" s="30"/>
      <c r="N76" s="30"/>
      <c r="O76" s="31"/>
      <c r="P76" s="32"/>
      <c r="Q76" s="5"/>
      <c r="R76" s="10"/>
    </row>
    <row r="79" spans="1:18" ht="27.5">
      <c r="A79" s="12" t="s">
        <v>210</v>
      </c>
      <c r="B79" s="13"/>
      <c r="C79" s="13"/>
      <c r="D79" s="2"/>
      <c r="E79" s="22" t="s">
        <v>468</v>
      </c>
      <c r="F79" s="23"/>
      <c r="G79" s="40" t="s">
        <v>214</v>
      </c>
      <c r="H79" s="40" t="s">
        <v>215</v>
      </c>
      <c r="I79" s="40" t="s">
        <v>219</v>
      </c>
      <c r="J79" s="40" t="s">
        <v>211</v>
      </c>
      <c r="K79" s="40" t="s">
        <v>216</v>
      </c>
      <c r="L79" s="40" t="s">
        <v>217</v>
      </c>
      <c r="M79" s="40" t="s">
        <v>220</v>
      </c>
      <c r="N79" s="40" t="s">
        <v>221</v>
      </c>
      <c r="O79" s="40" t="s">
        <v>208</v>
      </c>
      <c r="P79" s="41" t="s">
        <v>249</v>
      </c>
      <c r="Q79" s="2"/>
      <c r="R79" s="9" t="s">
        <v>213</v>
      </c>
    </row>
    <row r="80" spans="1:18">
      <c r="A80" s="20" t="str">
        <f t="shared" ref="A80:A87" si="39">IF(J80="","RESP","")</f>
        <v>RESP</v>
      </c>
      <c r="B80" s="20" t="str">
        <f t="shared" ref="B80:B87" si="40">IF(M80="","INIT","")</f>
        <v>INIT</v>
      </c>
      <c r="C80" s="20" t="str">
        <f t="shared" ref="C80:C87" si="41">IF(AND(J80="NO",O80=""),"CMTS","")</f>
        <v/>
      </c>
      <c r="D80" s="5"/>
      <c r="E80" s="28" t="s">
        <v>461</v>
      </c>
      <c r="F80" s="36" t="s">
        <v>132</v>
      </c>
      <c r="G80" s="30" t="s">
        <v>222</v>
      </c>
      <c r="H80" s="30" t="s">
        <v>218</v>
      </c>
      <c r="I80" s="30" t="s">
        <v>218</v>
      </c>
      <c r="J80" s="30"/>
      <c r="K80" s="30" t="s">
        <v>194</v>
      </c>
      <c r="L80" s="30"/>
      <c r="M80" s="30"/>
      <c r="N80" s="30"/>
      <c r="O80" s="31"/>
      <c r="P80" s="32"/>
      <c r="Q80" s="5"/>
      <c r="R80" s="10"/>
    </row>
    <row r="81" spans="1:18" ht="26.5">
      <c r="A81" s="20" t="str">
        <f t="shared" si="39"/>
        <v>RESP</v>
      </c>
      <c r="B81" s="20" t="str">
        <f t="shared" si="40"/>
        <v>INIT</v>
      </c>
      <c r="C81" s="20" t="str">
        <f t="shared" si="41"/>
        <v/>
      </c>
      <c r="D81" s="5"/>
      <c r="E81" s="28" t="s">
        <v>462</v>
      </c>
      <c r="F81" s="36" t="s">
        <v>469</v>
      </c>
      <c r="G81" s="30" t="s">
        <v>222</v>
      </c>
      <c r="H81" s="30" t="s">
        <v>218</v>
      </c>
      <c r="I81" s="30" t="s">
        <v>218</v>
      </c>
      <c r="J81" s="30"/>
      <c r="K81" s="30" t="s">
        <v>194</v>
      </c>
      <c r="L81" s="30"/>
      <c r="M81" s="30"/>
      <c r="N81" s="30"/>
      <c r="O81" s="31"/>
      <c r="P81" s="32"/>
      <c r="Q81" s="5"/>
      <c r="R81" s="10"/>
    </row>
    <row r="82" spans="1:18" ht="26.5">
      <c r="A82" s="20" t="str">
        <f t="shared" si="39"/>
        <v>RESP</v>
      </c>
      <c r="B82" s="20" t="str">
        <f t="shared" si="40"/>
        <v>INIT</v>
      </c>
      <c r="C82" s="20" t="str">
        <f t="shared" si="41"/>
        <v/>
      </c>
      <c r="D82" s="5"/>
      <c r="E82" s="28" t="s">
        <v>463</v>
      </c>
      <c r="F82" s="36" t="s">
        <v>133</v>
      </c>
      <c r="G82" s="30" t="s">
        <v>222</v>
      </c>
      <c r="H82" s="30" t="s">
        <v>218</v>
      </c>
      <c r="I82" s="30" t="s">
        <v>218</v>
      </c>
      <c r="J82" s="30"/>
      <c r="K82" s="30" t="s">
        <v>194</v>
      </c>
      <c r="L82" s="30"/>
      <c r="M82" s="30"/>
      <c r="N82" s="30"/>
      <c r="O82" s="31"/>
      <c r="P82" s="32"/>
      <c r="Q82" s="5"/>
      <c r="R82" s="10"/>
    </row>
    <row r="83" spans="1:18">
      <c r="A83" s="20" t="str">
        <f t="shared" si="39"/>
        <v>RESP</v>
      </c>
      <c r="B83" s="20" t="str">
        <f t="shared" si="40"/>
        <v>INIT</v>
      </c>
      <c r="C83" s="20" t="str">
        <f t="shared" si="41"/>
        <v/>
      </c>
      <c r="D83" s="5"/>
      <c r="E83" s="28" t="s">
        <v>464</v>
      </c>
      <c r="F83" s="36" t="s">
        <v>134</v>
      </c>
      <c r="G83" s="30" t="s">
        <v>222</v>
      </c>
      <c r="H83" s="30" t="s">
        <v>218</v>
      </c>
      <c r="I83" s="30" t="s">
        <v>218</v>
      </c>
      <c r="J83" s="30"/>
      <c r="K83" s="30" t="s">
        <v>194</v>
      </c>
      <c r="L83" s="30"/>
      <c r="M83" s="30"/>
      <c r="N83" s="30"/>
      <c r="O83" s="31"/>
      <c r="P83" s="32"/>
      <c r="Q83" s="5"/>
      <c r="R83" s="10"/>
    </row>
    <row r="84" spans="1:18" ht="26.5">
      <c r="A84" s="20" t="str">
        <f t="shared" si="39"/>
        <v>RESP</v>
      </c>
      <c r="B84" s="20" t="str">
        <f t="shared" si="40"/>
        <v>INIT</v>
      </c>
      <c r="C84" s="20" t="str">
        <f t="shared" si="41"/>
        <v/>
      </c>
      <c r="D84" s="5"/>
      <c r="E84" s="28" t="s">
        <v>465</v>
      </c>
      <c r="F84" s="36" t="s">
        <v>135</v>
      </c>
      <c r="G84" s="30" t="s">
        <v>222</v>
      </c>
      <c r="H84" s="30" t="s">
        <v>218</v>
      </c>
      <c r="I84" s="30" t="s">
        <v>218</v>
      </c>
      <c r="J84" s="30"/>
      <c r="K84" s="30" t="s">
        <v>194</v>
      </c>
      <c r="L84" s="30"/>
      <c r="M84" s="30"/>
      <c r="N84" s="30"/>
      <c r="O84" s="31"/>
      <c r="P84" s="32"/>
      <c r="Q84" s="5"/>
      <c r="R84" s="10"/>
    </row>
    <row r="85" spans="1:18">
      <c r="A85" s="20" t="str">
        <f t="shared" si="39"/>
        <v>RESP</v>
      </c>
      <c r="B85" s="20" t="str">
        <f t="shared" si="40"/>
        <v>INIT</v>
      </c>
      <c r="C85" s="20" t="str">
        <f t="shared" si="41"/>
        <v/>
      </c>
      <c r="D85" s="5"/>
      <c r="E85" s="28" t="s">
        <v>466</v>
      </c>
      <c r="F85" s="36" t="s">
        <v>136</v>
      </c>
      <c r="G85" s="30" t="s">
        <v>222</v>
      </c>
      <c r="H85" s="30" t="s">
        <v>218</v>
      </c>
      <c r="I85" s="30" t="s">
        <v>218</v>
      </c>
      <c r="J85" s="30"/>
      <c r="K85" s="30" t="s">
        <v>194</v>
      </c>
      <c r="L85" s="30"/>
      <c r="M85" s="30"/>
      <c r="N85" s="30"/>
      <c r="O85" s="31"/>
      <c r="P85" s="32"/>
      <c r="Q85" s="5"/>
      <c r="R85" s="10"/>
    </row>
    <row r="86" spans="1:18">
      <c r="A86" s="20" t="str">
        <f t="shared" ref="A86" si="42">IF(J86="","RESP","")</f>
        <v>RESP</v>
      </c>
      <c r="B86" s="20" t="str">
        <f t="shared" ref="B86" si="43">IF(M86="","INIT","")</f>
        <v>INIT</v>
      </c>
      <c r="C86" s="20" t="str">
        <f t="shared" ref="C86" si="44">IF(AND(J86="NO",O86=""),"CMTS","")</f>
        <v/>
      </c>
      <c r="D86" s="5"/>
      <c r="E86" s="28" t="s">
        <v>467</v>
      </c>
      <c r="F86" s="36" t="s">
        <v>900</v>
      </c>
      <c r="G86" s="30" t="s">
        <v>222</v>
      </c>
      <c r="H86" s="30" t="s">
        <v>218</v>
      </c>
      <c r="I86" s="30" t="s">
        <v>218</v>
      </c>
      <c r="J86" s="30"/>
      <c r="K86" s="30" t="s">
        <v>194</v>
      </c>
      <c r="L86" s="30"/>
      <c r="M86" s="30"/>
      <c r="N86" s="30"/>
      <c r="O86" s="31"/>
      <c r="P86" s="32"/>
      <c r="Q86" s="5"/>
      <c r="R86" s="10"/>
    </row>
    <row r="87" spans="1:18">
      <c r="A87" s="20" t="str">
        <f t="shared" si="39"/>
        <v>RESP</v>
      </c>
      <c r="B87" s="20" t="str">
        <f t="shared" si="40"/>
        <v>INIT</v>
      </c>
      <c r="C87" s="20" t="str">
        <f t="shared" si="41"/>
        <v/>
      </c>
      <c r="D87" s="5"/>
      <c r="E87" s="28" t="s">
        <v>901</v>
      </c>
      <c r="F87" s="36" t="s">
        <v>137</v>
      </c>
      <c r="G87" s="30" t="s">
        <v>222</v>
      </c>
      <c r="H87" s="30" t="s">
        <v>218</v>
      </c>
      <c r="I87" s="30" t="s">
        <v>218</v>
      </c>
      <c r="J87" s="30"/>
      <c r="K87" s="30" t="s">
        <v>194</v>
      </c>
      <c r="L87" s="30"/>
      <c r="M87" s="30"/>
      <c r="N87" s="30"/>
      <c r="O87" s="31"/>
      <c r="P87" s="32"/>
      <c r="Q87" s="5"/>
      <c r="R87" s="10"/>
    </row>
    <row r="90" spans="1:18" ht="27.5">
      <c r="A90" s="12" t="s">
        <v>210</v>
      </c>
      <c r="B90" s="13"/>
      <c r="C90" s="13"/>
      <c r="D90" s="2"/>
      <c r="E90" s="22" t="s">
        <v>899</v>
      </c>
      <c r="F90" s="23"/>
      <c r="G90" s="40" t="s">
        <v>214</v>
      </c>
      <c r="H90" s="40" t="s">
        <v>215</v>
      </c>
      <c r="I90" s="40" t="s">
        <v>219</v>
      </c>
      <c r="J90" s="40" t="s">
        <v>211</v>
      </c>
      <c r="K90" s="40" t="s">
        <v>216</v>
      </c>
      <c r="L90" s="40" t="s">
        <v>217</v>
      </c>
      <c r="M90" s="40" t="s">
        <v>220</v>
      </c>
      <c r="N90" s="40" t="s">
        <v>221</v>
      </c>
      <c r="O90" s="40" t="s">
        <v>208</v>
      </c>
      <c r="P90" s="41" t="s">
        <v>249</v>
      </c>
      <c r="Q90" s="2"/>
      <c r="R90" s="9" t="s">
        <v>213</v>
      </c>
    </row>
    <row r="91" spans="1:18" ht="47" customHeight="1">
      <c r="A91" s="20" t="str">
        <f t="shared" ref="A91:A92" si="45">IF(J91="","RESP","")</f>
        <v>RESP</v>
      </c>
      <c r="B91" s="20" t="str">
        <f t="shared" ref="B91:B92" si="46">IF(M91="","INIT","")</f>
        <v>INIT</v>
      </c>
      <c r="C91" s="20" t="str">
        <f t="shared" ref="C91:C92" si="47">IF(AND(J91="NO",O91=""),"CMTS","")</f>
        <v/>
      </c>
      <c r="D91" s="5"/>
      <c r="E91" s="28" t="s">
        <v>943</v>
      </c>
      <c r="F91" s="36" t="s">
        <v>197</v>
      </c>
      <c r="G91" s="30" t="s">
        <v>222</v>
      </c>
      <c r="H91" s="30" t="s">
        <v>229</v>
      </c>
      <c r="I91" s="30" t="s">
        <v>218</v>
      </c>
      <c r="J91" s="30"/>
      <c r="K91" s="30" t="s">
        <v>194</v>
      </c>
      <c r="L91" s="30"/>
      <c r="M91" s="30"/>
      <c r="N91" s="30"/>
      <c r="O91" s="31"/>
      <c r="P91" s="32"/>
      <c r="Q91" s="5"/>
      <c r="R91" s="10"/>
    </row>
    <row r="92" spans="1:18" ht="26.5">
      <c r="A92" s="20" t="str">
        <f t="shared" si="45"/>
        <v>RESP</v>
      </c>
      <c r="B92" s="20" t="str">
        <f t="shared" si="46"/>
        <v>INIT</v>
      </c>
      <c r="C92" s="20" t="str">
        <f t="shared" si="47"/>
        <v/>
      </c>
      <c r="D92" s="5"/>
      <c r="E92" s="28" t="s">
        <v>944</v>
      </c>
      <c r="F92" s="36" t="s">
        <v>177</v>
      </c>
      <c r="G92" s="30" t="s">
        <v>222</v>
      </c>
      <c r="H92" s="30" t="s">
        <v>229</v>
      </c>
      <c r="I92" s="30" t="s">
        <v>218</v>
      </c>
      <c r="J92" s="30"/>
      <c r="K92" s="30" t="s">
        <v>194</v>
      </c>
      <c r="L92" s="30"/>
      <c r="M92" s="30"/>
      <c r="N92" s="30"/>
      <c r="O92" s="31"/>
      <c r="P92" s="32"/>
      <c r="Q92" s="5"/>
      <c r="R92" s="10"/>
    </row>
    <row r="95" spans="1:18" ht="27.5">
      <c r="A95" s="12" t="s">
        <v>210</v>
      </c>
      <c r="B95" s="13"/>
      <c r="C95" s="13"/>
      <c r="D95" s="2"/>
      <c r="E95" s="22" t="s">
        <v>906</v>
      </c>
      <c r="F95" s="23"/>
      <c r="G95" s="40" t="s">
        <v>214</v>
      </c>
      <c r="H95" s="40" t="s">
        <v>215</v>
      </c>
      <c r="I95" s="40" t="s">
        <v>219</v>
      </c>
      <c r="J95" s="40" t="s">
        <v>211</v>
      </c>
      <c r="K95" s="40" t="s">
        <v>216</v>
      </c>
      <c r="L95" s="40" t="s">
        <v>217</v>
      </c>
      <c r="M95" s="40" t="s">
        <v>220</v>
      </c>
      <c r="N95" s="40" t="s">
        <v>221</v>
      </c>
      <c r="O95" s="40" t="s">
        <v>208</v>
      </c>
      <c r="P95" s="41" t="s">
        <v>249</v>
      </c>
      <c r="Q95" s="2"/>
      <c r="R95" s="9" t="s">
        <v>213</v>
      </c>
    </row>
    <row r="96" spans="1:18">
      <c r="A96" s="20" t="str">
        <f t="shared" ref="A96:A97" si="48">IF(J96="","RESP","")</f>
        <v>RESP</v>
      </c>
      <c r="B96" s="20" t="str">
        <f t="shared" ref="B96:B97" si="49">IF(M96="","INIT","")</f>
        <v>INIT</v>
      </c>
      <c r="C96" s="20" t="str">
        <f t="shared" ref="C96:C97" si="50">IF(AND(J96="NO",O96=""),"CMTS","")</f>
        <v/>
      </c>
      <c r="D96" s="5"/>
      <c r="E96" s="28" t="s">
        <v>945</v>
      </c>
      <c r="F96" s="36" t="s">
        <v>907</v>
      </c>
      <c r="G96" s="30" t="s">
        <v>222</v>
      </c>
      <c r="H96" s="30" t="s">
        <v>910</v>
      </c>
      <c r="I96" s="30" t="s">
        <v>218</v>
      </c>
      <c r="J96" s="30"/>
      <c r="K96" s="30" t="s">
        <v>144</v>
      </c>
      <c r="L96" s="30"/>
      <c r="M96" s="30"/>
      <c r="N96" s="30"/>
      <c r="O96" s="31"/>
      <c r="P96" s="32"/>
      <c r="Q96" s="5"/>
      <c r="R96" s="10"/>
    </row>
    <row r="97" spans="1:18">
      <c r="A97" s="20" t="str">
        <f t="shared" si="48"/>
        <v>RESP</v>
      </c>
      <c r="B97" s="20" t="str">
        <f t="shared" si="49"/>
        <v>INIT</v>
      </c>
      <c r="C97" s="20" t="str">
        <f t="shared" si="50"/>
        <v/>
      </c>
      <c r="D97" s="5"/>
      <c r="E97" s="28" t="s">
        <v>946</v>
      </c>
      <c r="F97" s="36" t="s">
        <v>908</v>
      </c>
      <c r="G97" s="30" t="s">
        <v>222</v>
      </c>
      <c r="H97" s="30" t="s">
        <v>910</v>
      </c>
      <c r="I97" s="30" t="s">
        <v>218</v>
      </c>
      <c r="J97" s="30"/>
      <c r="K97" s="30" t="s">
        <v>144</v>
      </c>
      <c r="L97" s="30"/>
      <c r="M97" s="30"/>
      <c r="N97" s="30"/>
      <c r="O97" s="31"/>
      <c r="P97" s="32"/>
      <c r="Q97" s="5"/>
      <c r="R97" s="10"/>
    </row>
    <row r="98" spans="1:18" ht="26.5">
      <c r="A98" s="20" t="str">
        <f t="shared" ref="A98" si="51">IF(J98="","RESP","")</f>
        <v>RESP</v>
      </c>
      <c r="B98" s="20" t="str">
        <f t="shared" ref="B98" si="52">IF(M98="","INIT","")</f>
        <v>INIT</v>
      </c>
      <c r="C98" s="20" t="str">
        <f t="shared" ref="C98" si="53">IF(AND(J98="NO",O98=""),"CMTS","")</f>
        <v/>
      </c>
      <c r="D98" s="5"/>
      <c r="E98" s="28" t="s">
        <v>947</v>
      </c>
      <c r="F98" s="36" t="s">
        <v>909</v>
      </c>
      <c r="G98" s="30" t="s">
        <v>222</v>
      </c>
      <c r="H98" s="30" t="s">
        <v>910</v>
      </c>
      <c r="I98" s="30" t="s">
        <v>218</v>
      </c>
      <c r="J98" s="30"/>
      <c r="K98" s="30" t="s">
        <v>144</v>
      </c>
      <c r="L98" s="30"/>
      <c r="M98" s="30"/>
      <c r="N98" s="30"/>
      <c r="O98" s="31"/>
      <c r="P98" s="32"/>
      <c r="Q98" s="5"/>
      <c r="R98" s="10"/>
    </row>
    <row r="101" spans="1:18" ht="27.5">
      <c r="A101" s="12" t="s">
        <v>210</v>
      </c>
      <c r="B101" s="13"/>
      <c r="C101" s="13"/>
      <c r="D101" s="2"/>
      <c r="E101" s="22" t="s">
        <v>476</v>
      </c>
      <c r="F101" s="23"/>
      <c r="G101" s="40" t="s">
        <v>214</v>
      </c>
      <c r="H101" s="40" t="s">
        <v>215</v>
      </c>
      <c r="I101" s="40" t="s">
        <v>219</v>
      </c>
      <c r="J101" s="40" t="s">
        <v>211</v>
      </c>
      <c r="K101" s="40" t="s">
        <v>216</v>
      </c>
      <c r="L101" s="40" t="s">
        <v>217</v>
      </c>
      <c r="M101" s="40" t="s">
        <v>220</v>
      </c>
      <c r="N101" s="40" t="s">
        <v>221</v>
      </c>
      <c r="O101" s="40" t="s">
        <v>208</v>
      </c>
      <c r="P101" s="41" t="s">
        <v>249</v>
      </c>
      <c r="Q101" s="2"/>
      <c r="R101" s="9" t="s">
        <v>213</v>
      </c>
    </row>
    <row r="102" spans="1:18">
      <c r="A102" s="20" t="str">
        <f t="shared" ref="A102:A105" si="54">IF(J102="","RESP","")</f>
        <v>RESP</v>
      </c>
      <c r="B102" s="20" t="str">
        <f t="shared" ref="B102:B105" si="55">IF(M102="","INIT","")</f>
        <v>INIT</v>
      </c>
      <c r="C102" s="20" t="str">
        <f t="shared" ref="C102:C105" si="56">IF(AND(J102="NO",O102=""),"CMTS","")</f>
        <v/>
      </c>
      <c r="D102" s="5"/>
      <c r="E102" s="28" t="s">
        <v>477</v>
      </c>
      <c r="F102" s="36" t="s">
        <v>138</v>
      </c>
      <c r="G102" s="30" t="s">
        <v>222</v>
      </c>
      <c r="H102" s="30" t="s">
        <v>218</v>
      </c>
      <c r="I102" s="30" t="s">
        <v>218</v>
      </c>
      <c r="J102" s="30"/>
      <c r="K102" s="30" t="s">
        <v>194</v>
      </c>
      <c r="L102" s="30"/>
      <c r="M102" s="30"/>
      <c r="N102" s="30"/>
      <c r="O102" s="31"/>
      <c r="P102" s="32"/>
      <c r="Q102" s="5"/>
      <c r="R102" s="10"/>
    </row>
    <row r="103" spans="1:18">
      <c r="A103" s="20" t="str">
        <f t="shared" si="54"/>
        <v>RESP</v>
      </c>
      <c r="B103" s="20" t="str">
        <f t="shared" si="55"/>
        <v>INIT</v>
      </c>
      <c r="C103" s="20" t="str">
        <f t="shared" si="56"/>
        <v/>
      </c>
      <c r="D103" s="5"/>
      <c r="E103" s="28" t="s">
        <v>478</v>
      </c>
      <c r="F103" s="36" t="s">
        <v>897</v>
      </c>
      <c r="G103" s="30" t="s">
        <v>222</v>
      </c>
      <c r="H103" s="30" t="s">
        <v>218</v>
      </c>
      <c r="I103" s="30" t="s">
        <v>218</v>
      </c>
      <c r="J103" s="30"/>
      <c r="K103" s="30" t="s">
        <v>194</v>
      </c>
      <c r="L103" s="30"/>
      <c r="M103" s="30"/>
      <c r="N103" s="30"/>
      <c r="O103" s="31"/>
      <c r="P103" s="32"/>
      <c r="Q103" s="5"/>
      <c r="R103" s="10"/>
    </row>
    <row r="104" spans="1:18">
      <c r="A104" s="20" t="str">
        <f t="shared" ref="A104" si="57">IF(J104="","RESP","")</f>
        <v>RESP</v>
      </c>
      <c r="B104" s="20" t="str">
        <f t="shared" ref="B104" si="58">IF(M104="","INIT","")</f>
        <v>INIT</v>
      </c>
      <c r="C104" s="20" t="str">
        <f t="shared" ref="C104" si="59">IF(AND(J104="NO",O104=""),"CMTS","")</f>
        <v/>
      </c>
      <c r="D104" s="5"/>
      <c r="E104" s="28" t="s">
        <v>479</v>
      </c>
      <c r="F104" s="36" t="s">
        <v>139</v>
      </c>
      <c r="G104" s="30" t="s">
        <v>222</v>
      </c>
      <c r="H104" s="30" t="s">
        <v>218</v>
      </c>
      <c r="I104" s="30" t="s">
        <v>218</v>
      </c>
      <c r="J104" s="30"/>
      <c r="K104" s="30" t="s">
        <v>194</v>
      </c>
      <c r="L104" s="30"/>
      <c r="M104" s="30"/>
      <c r="N104" s="30"/>
      <c r="O104" s="31"/>
      <c r="P104" s="32"/>
      <c r="Q104" s="5"/>
      <c r="R104" s="10"/>
    </row>
    <row r="105" spans="1:18">
      <c r="A105" s="20" t="str">
        <f t="shared" si="54"/>
        <v>RESP</v>
      </c>
      <c r="B105" s="20" t="str">
        <f t="shared" si="55"/>
        <v>INIT</v>
      </c>
      <c r="C105" s="20" t="str">
        <f t="shared" si="56"/>
        <v/>
      </c>
      <c r="D105" s="5"/>
      <c r="E105" s="28" t="s">
        <v>898</v>
      </c>
      <c r="F105" s="36" t="s">
        <v>140</v>
      </c>
      <c r="G105" s="30" t="s">
        <v>222</v>
      </c>
      <c r="H105" s="30" t="s">
        <v>218</v>
      </c>
      <c r="I105" s="30" t="s">
        <v>218</v>
      </c>
      <c r="J105" s="30"/>
      <c r="K105" s="30" t="s">
        <v>194</v>
      </c>
      <c r="L105" s="30"/>
      <c r="M105" s="30"/>
      <c r="N105" s="30"/>
      <c r="O105" s="31"/>
      <c r="P105" s="32"/>
      <c r="Q105" s="5"/>
      <c r="R105" s="10"/>
    </row>
    <row r="108" spans="1:18" ht="27.5">
      <c r="A108" s="12" t="s">
        <v>210</v>
      </c>
      <c r="B108" s="13"/>
      <c r="C108" s="13"/>
      <c r="D108" s="2"/>
      <c r="E108" s="22" t="s">
        <v>480</v>
      </c>
      <c r="F108" s="23"/>
      <c r="G108" s="40" t="s">
        <v>214</v>
      </c>
      <c r="H108" s="40" t="s">
        <v>215</v>
      </c>
      <c r="I108" s="40" t="s">
        <v>219</v>
      </c>
      <c r="J108" s="40" t="s">
        <v>211</v>
      </c>
      <c r="K108" s="40" t="s">
        <v>216</v>
      </c>
      <c r="L108" s="40" t="s">
        <v>217</v>
      </c>
      <c r="M108" s="40" t="s">
        <v>220</v>
      </c>
      <c r="N108" s="40" t="s">
        <v>221</v>
      </c>
      <c r="O108" s="40" t="s">
        <v>208</v>
      </c>
      <c r="P108" s="41" t="s">
        <v>249</v>
      </c>
      <c r="Q108" s="2"/>
      <c r="R108" s="9" t="s">
        <v>213</v>
      </c>
    </row>
    <row r="109" spans="1:18">
      <c r="A109" s="20" t="str">
        <f t="shared" ref="A109:A111" si="60">IF(J109="","RESP","")</f>
        <v>RESP</v>
      </c>
      <c r="B109" s="20" t="str">
        <f t="shared" ref="B109:B111" si="61">IF(M109="","INIT","")</f>
        <v>INIT</v>
      </c>
      <c r="C109" s="20" t="str">
        <f t="shared" ref="C109:C111" si="62">IF(AND(J109="NO",O109=""),"CMTS","")</f>
        <v/>
      </c>
      <c r="D109" s="5"/>
      <c r="E109" s="28" t="s">
        <v>477</v>
      </c>
      <c r="F109" s="36" t="s">
        <v>948</v>
      </c>
      <c r="G109" s="30" t="s">
        <v>222</v>
      </c>
      <c r="H109" s="30" t="s">
        <v>218</v>
      </c>
      <c r="I109" s="30" t="s">
        <v>218</v>
      </c>
      <c r="J109" s="30"/>
      <c r="K109" s="30" t="s">
        <v>194</v>
      </c>
      <c r="L109" s="30"/>
      <c r="M109" s="30"/>
      <c r="N109" s="30"/>
      <c r="O109" s="31"/>
      <c r="P109" s="32"/>
      <c r="Q109" s="5"/>
      <c r="R109" s="10"/>
    </row>
    <row r="110" spans="1:18">
      <c r="A110" s="20" t="str">
        <f t="shared" si="60"/>
        <v>RESP</v>
      </c>
      <c r="B110" s="20" t="str">
        <f t="shared" si="61"/>
        <v>INIT</v>
      </c>
      <c r="C110" s="20" t="str">
        <f t="shared" si="62"/>
        <v/>
      </c>
      <c r="D110" s="5"/>
      <c r="E110" s="28" t="s">
        <v>478</v>
      </c>
      <c r="F110" s="36" t="s">
        <v>949</v>
      </c>
      <c r="G110" s="30" t="s">
        <v>222</v>
      </c>
      <c r="H110" s="30" t="s">
        <v>218</v>
      </c>
      <c r="I110" s="30" t="s">
        <v>218</v>
      </c>
      <c r="J110" s="30"/>
      <c r="K110" s="30" t="s">
        <v>194</v>
      </c>
      <c r="L110" s="30"/>
      <c r="M110" s="30"/>
      <c r="N110" s="30"/>
      <c r="O110" s="31"/>
      <c r="P110" s="32"/>
      <c r="Q110" s="5"/>
      <c r="R110" s="10"/>
    </row>
    <row r="111" spans="1:18">
      <c r="A111" s="20" t="str">
        <f t="shared" si="60"/>
        <v>RESP</v>
      </c>
      <c r="B111" s="20" t="str">
        <f t="shared" si="61"/>
        <v>INIT</v>
      </c>
      <c r="C111" s="20" t="str">
        <f t="shared" si="62"/>
        <v/>
      </c>
      <c r="D111" s="5"/>
      <c r="E111" s="28" t="s">
        <v>479</v>
      </c>
      <c r="F111" s="36" t="s">
        <v>950</v>
      </c>
      <c r="G111" s="30" t="s">
        <v>222</v>
      </c>
      <c r="H111" s="30" t="s">
        <v>218</v>
      </c>
      <c r="I111" s="30" t="s">
        <v>218</v>
      </c>
      <c r="J111" s="30"/>
      <c r="K111" s="30" t="s">
        <v>194</v>
      </c>
      <c r="L111" s="30"/>
      <c r="M111" s="30"/>
      <c r="N111" s="30"/>
      <c r="O111" s="31"/>
      <c r="P111" s="32"/>
      <c r="Q111" s="5"/>
      <c r="R111" s="10"/>
    </row>
    <row r="114" spans="1:18" ht="27.5">
      <c r="A114" s="12" t="s">
        <v>210</v>
      </c>
      <c r="B114" s="13"/>
      <c r="C114" s="13"/>
      <c r="D114" s="2"/>
      <c r="E114" s="22" t="s">
        <v>481</v>
      </c>
      <c r="F114" s="23"/>
      <c r="G114" s="40" t="s">
        <v>214</v>
      </c>
      <c r="H114" s="40" t="s">
        <v>215</v>
      </c>
      <c r="I114" s="40" t="s">
        <v>219</v>
      </c>
      <c r="J114" s="40" t="s">
        <v>211</v>
      </c>
      <c r="K114" s="40" t="s">
        <v>216</v>
      </c>
      <c r="L114" s="40" t="s">
        <v>217</v>
      </c>
      <c r="M114" s="40" t="s">
        <v>220</v>
      </c>
      <c r="N114" s="40" t="s">
        <v>221</v>
      </c>
      <c r="O114" s="40" t="s">
        <v>208</v>
      </c>
      <c r="P114" s="41" t="s">
        <v>249</v>
      </c>
      <c r="Q114" s="2"/>
      <c r="R114" s="9" t="s">
        <v>213</v>
      </c>
    </row>
    <row r="115" spans="1:18">
      <c r="A115" s="20" t="str">
        <f t="shared" ref="A115:A121" si="63">IF(J115="","RESP","")</f>
        <v>RESP</v>
      </c>
      <c r="B115" s="20" t="str">
        <f t="shared" ref="B115:B121" si="64">IF(M115="","INIT","")</f>
        <v>INIT</v>
      </c>
      <c r="C115" s="20" t="str">
        <f t="shared" ref="C115:C121" si="65">IF(AND(J115="NO",O115=""),"CMTS","")</f>
        <v/>
      </c>
      <c r="D115" s="5"/>
      <c r="E115" s="28" t="s">
        <v>490</v>
      </c>
      <c r="F115" s="36" t="s">
        <v>951</v>
      </c>
      <c r="G115" s="30" t="s">
        <v>222</v>
      </c>
      <c r="H115" s="30" t="s">
        <v>218</v>
      </c>
      <c r="I115" s="30" t="s">
        <v>218</v>
      </c>
      <c r="J115" s="30"/>
      <c r="K115" s="30" t="s">
        <v>194</v>
      </c>
      <c r="L115" s="30"/>
      <c r="M115" s="30"/>
      <c r="N115" s="30"/>
      <c r="O115" s="31"/>
      <c r="P115" s="32"/>
      <c r="Q115" s="5"/>
      <c r="R115" s="10"/>
    </row>
    <row r="116" spans="1:18">
      <c r="A116" s="20" t="str">
        <f t="shared" si="63"/>
        <v>RESP</v>
      </c>
      <c r="B116" s="20" t="str">
        <f t="shared" si="64"/>
        <v>INIT</v>
      </c>
      <c r="C116" s="20" t="str">
        <f t="shared" si="65"/>
        <v/>
      </c>
      <c r="D116" s="5"/>
      <c r="E116" s="28" t="s">
        <v>491</v>
      </c>
      <c r="F116" s="36" t="s">
        <v>483</v>
      </c>
      <c r="G116" s="30" t="s">
        <v>222</v>
      </c>
      <c r="H116" s="30" t="s">
        <v>218</v>
      </c>
      <c r="I116" s="30" t="s">
        <v>218</v>
      </c>
      <c r="J116" s="30"/>
      <c r="K116" s="30" t="s">
        <v>194</v>
      </c>
      <c r="L116" s="30"/>
      <c r="M116" s="30"/>
      <c r="N116" s="30"/>
      <c r="O116" s="31"/>
      <c r="P116" s="32"/>
      <c r="Q116" s="5"/>
      <c r="R116" s="10"/>
    </row>
    <row r="117" spans="1:18">
      <c r="A117" s="20" t="str">
        <f t="shared" si="63"/>
        <v>RESP</v>
      </c>
      <c r="B117" s="20" t="str">
        <f t="shared" si="64"/>
        <v>INIT</v>
      </c>
      <c r="C117" s="20" t="str">
        <f t="shared" si="65"/>
        <v/>
      </c>
      <c r="D117" s="5"/>
      <c r="E117" s="28" t="s">
        <v>492</v>
      </c>
      <c r="F117" s="36" t="s">
        <v>482</v>
      </c>
      <c r="G117" s="30" t="s">
        <v>222</v>
      </c>
      <c r="H117" s="30" t="s">
        <v>218</v>
      </c>
      <c r="I117" s="30" t="s">
        <v>218</v>
      </c>
      <c r="J117" s="30"/>
      <c r="K117" s="30" t="s">
        <v>194</v>
      </c>
      <c r="L117" s="30"/>
      <c r="M117" s="30"/>
      <c r="N117" s="30"/>
      <c r="O117" s="31"/>
      <c r="P117" s="32"/>
      <c r="Q117" s="5"/>
      <c r="R117" s="10"/>
    </row>
    <row r="118" spans="1:18">
      <c r="A118" s="20" t="str">
        <f t="shared" si="63"/>
        <v>RESP</v>
      </c>
      <c r="B118" s="20" t="str">
        <f t="shared" si="64"/>
        <v>INIT</v>
      </c>
      <c r="C118" s="20" t="str">
        <f t="shared" si="65"/>
        <v/>
      </c>
      <c r="D118" s="5"/>
      <c r="E118" s="28" t="s">
        <v>493</v>
      </c>
      <c r="F118" s="36" t="s">
        <v>484</v>
      </c>
      <c r="G118" s="30" t="s">
        <v>222</v>
      </c>
      <c r="H118" s="30" t="s">
        <v>218</v>
      </c>
      <c r="I118" s="30" t="s">
        <v>218</v>
      </c>
      <c r="J118" s="30"/>
      <c r="K118" s="30" t="s">
        <v>194</v>
      </c>
      <c r="L118" s="30"/>
      <c r="M118" s="30"/>
      <c r="N118" s="30"/>
      <c r="O118" s="31"/>
      <c r="P118" s="32"/>
      <c r="Q118" s="5"/>
      <c r="R118" s="10"/>
    </row>
    <row r="119" spans="1:18">
      <c r="A119" s="20" t="str">
        <f t="shared" si="63"/>
        <v>RESP</v>
      </c>
      <c r="B119" s="20" t="str">
        <f t="shared" si="64"/>
        <v>INIT</v>
      </c>
      <c r="C119" s="20" t="str">
        <f t="shared" si="65"/>
        <v/>
      </c>
      <c r="D119" s="5"/>
      <c r="E119" s="28" t="s">
        <v>494</v>
      </c>
      <c r="F119" s="36" t="s">
        <v>485</v>
      </c>
      <c r="G119" s="30" t="s">
        <v>222</v>
      </c>
      <c r="H119" s="30" t="s">
        <v>218</v>
      </c>
      <c r="I119" s="30" t="s">
        <v>218</v>
      </c>
      <c r="J119" s="30"/>
      <c r="K119" s="30" t="s">
        <v>194</v>
      </c>
      <c r="L119" s="30"/>
      <c r="M119" s="30"/>
      <c r="N119" s="30"/>
      <c r="O119" s="31"/>
      <c r="P119" s="32"/>
      <c r="Q119" s="5"/>
      <c r="R119" s="10"/>
    </row>
    <row r="120" spans="1:18">
      <c r="A120" s="20" t="str">
        <f t="shared" si="63"/>
        <v>RESP</v>
      </c>
      <c r="B120" s="20" t="str">
        <f t="shared" si="64"/>
        <v>INIT</v>
      </c>
      <c r="C120" s="20" t="str">
        <f t="shared" si="65"/>
        <v/>
      </c>
      <c r="D120" s="5"/>
      <c r="E120" s="28" t="s">
        <v>495</v>
      </c>
      <c r="F120" s="36" t="s">
        <v>486</v>
      </c>
      <c r="G120" s="30" t="s">
        <v>222</v>
      </c>
      <c r="H120" s="30" t="s">
        <v>218</v>
      </c>
      <c r="I120" s="30" t="s">
        <v>218</v>
      </c>
      <c r="J120" s="30"/>
      <c r="K120" s="30" t="s">
        <v>194</v>
      </c>
      <c r="L120" s="30"/>
      <c r="M120" s="30"/>
      <c r="N120" s="30"/>
      <c r="O120" s="31"/>
      <c r="P120" s="32"/>
      <c r="Q120" s="5"/>
      <c r="R120" s="10"/>
    </row>
    <row r="121" spans="1:18" ht="26.5">
      <c r="A121" s="20" t="str">
        <f t="shared" si="63"/>
        <v>RESP</v>
      </c>
      <c r="B121" s="20" t="str">
        <f t="shared" si="64"/>
        <v>INIT</v>
      </c>
      <c r="C121" s="20" t="str">
        <f t="shared" si="65"/>
        <v/>
      </c>
      <c r="D121" s="5"/>
      <c r="E121" s="28" t="s">
        <v>496</v>
      </c>
      <c r="F121" s="36" t="s">
        <v>487</v>
      </c>
      <c r="G121" s="30" t="s">
        <v>222</v>
      </c>
      <c r="H121" s="30" t="s">
        <v>218</v>
      </c>
      <c r="I121" s="30" t="s">
        <v>218</v>
      </c>
      <c r="J121" s="30"/>
      <c r="K121" s="30" t="s">
        <v>194</v>
      </c>
      <c r="L121" s="30"/>
      <c r="M121" s="30"/>
      <c r="N121" s="30"/>
      <c r="O121" s="31"/>
      <c r="P121" s="32"/>
      <c r="Q121" s="5"/>
      <c r="R121" s="10"/>
    </row>
    <row r="122" spans="1:18" ht="26.5">
      <c r="A122" s="20" t="str">
        <f t="shared" ref="A122:A123" si="66">IF(J122="","RESP","")</f>
        <v>RESP</v>
      </c>
      <c r="B122" s="20" t="str">
        <f t="shared" ref="B122:B123" si="67">IF(M122="","INIT","")</f>
        <v>INIT</v>
      </c>
      <c r="C122" s="20" t="str">
        <f t="shared" ref="C122:C123" si="68">IF(AND(J122="NO",O122=""),"CMTS","")</f>
        <v/>
      </c>
      <c r="D122" s="5"/>
      <c r="E122" s="28" t="s">
        <v>497</v>
      </c>
      <c r="F122" s="36" t="s">
        <v>488</v>
      </c>
      <c r="G122" s="30" t="s">
        <v>222</v>
      </c>
      <c r="H122" s="30" t="s">
        <v>218</v>
      </c>
      <c r="I122" s="30" t="s">
        <v>218</v>
      </c>
      <c r="J122" s="30"/>
      <c r="K122" s="30" t="s">
        <v>194</v>
      </c>
      <c r="L122" s="30"/>
      <c r="M122" s="30"/>
      <c r="N122" s="30"/>
      <c r="O122" s="31"/>
      <c r="P122" s="32"/>
      <c r="Q122" s="5"/>
      <c r="R122" s="10"/>
    </row>
    <row r="123" spans="1:18" ht="26.5">
      <c r="A123" s="20" t="str">
        <f t="shared" si="66"/>
        <v>RESP</v>
      </c>
      <c r="B123" s="20" t="str">
        <f t="shared" si="67"/>
        <v>INIT</v>
      </c>
      <c r="C123" s="20" t="str">
        <f t="shared" si="68"/>
        <v/>
      </c>
      <c r="D123" s="5"/>
      <c r="E123" s="28" t="s">
        <v>498</v>
      </c>
      <c r="F123" s="36" t="s">
        <v>489</v>
      </c>
      <c r="G123" s="30" t="s">
        <v>222</v>
      </c>
      <c r="H123" s="30" t="s">
        <v>218</v>
      </c>
      <c r="I123" s="30" t="s">
        <v>218</v>
      </c>
      <c r="J123" s="30"/>
      <c r="K123" s="30" t="s">
        <v>194</v>
      </c>
      <c r="L123" s="30"/>
      <c r="M123" s="30"/>
      <c r="N123" s="30"/>
      <c r="O123" s="31"/>
      <c r="P123" s="32"/>
      <c r="Q123" s="5"/>
      <c r="R123" s="10"/>
    </row>
    <row r="126" spans="1:18" ht="27.5">
      <c r="A126" s="12" t="s">
        <v>210</v>
      </c>
      <c r="B126" s="13"/>
      <c r="C126" s="13"/>
      <c r="D126" s="2"/>
      <c r="E126" s="22" t="s">
        <v>953</v>
      </c>
      <c r="F126" s="23"/>
      <c r="G126" s="40" t="s">
        <v>214</v>
      </c>
      <c r="H126" s="40" t="s">
        <v>215</v>
      </c>
      <c r="I126" s="40" t="s">
        <v>219</v>
      </c>
      <c r="J126" s="40" t="s">
        <v>211</v>
      </c>
      <c r="K126" s="40" t="s">
        <v>216</v>
      </c>
      <c r="L126" s="40" t="s">
        <v>217</v>
      </c>
      <c r="M126" s="40" t="s">
        <v>220</v>
      </c>
      <c r="N126" s="40" t="s">
        <v>221</v>
      </c>
      <c r="O126" s="40" t="s">
        <v>208</v>
      </c>
      <c r="P126" s="41" t="s">
        <v>249</v>
      </c>
      <c r="Q126" s="2"/>
      <c r="R126" s="9" t="s">
        <v>213</v>
      </c>
    </row>
    <row r="127" spans="1:18">
      <c r="A127" s="20" t="str">
        <f t="shared" ref="A127:A132" si="69">IF(J127="","RESP","")</f>
        <v>RESP</v>
      </c>
      <c r="B127" s="20" t="str">
        <f t="shared" ref="B127:B132" si="70">IF(M127="","INIT","")</f>
        <v>INIT</v>
      </c>
      <c r="C127" s="20" t="str">
        <f t="shared" ref="C127:C132" si="71">IF(AND(J127="NO",O127=""),"CMTS","")</f>
        <v/>
      </c>
      <c r="D127" s="5"/>
      <c r="E127" s="28" t="s">
        <v>952</v>
      </c>
      <c r="F127" s="36" t="s">
        <v>911</v>
      </c>
      <c r="G127" s="30" t="s">
        <v>222</v>
      </c>
      <c r="H127" s="30" t="s">
        <v>218</v>
      </c>
      <c r="I127" s="30" t="s">
        <v>218</v>
      </c>
      <c r="J127" s="30"/>
      <c r="K127" s="30" t="s">
        <v>144</v>
      </c>
      <c r="L127" s="30"/>
      <c r="M127" s="30"/>
      <c r="N127" s="30"/>
      <c r="O127" s="31"/>
      <c r="P127" s="32"/>
      <c r="Q127" s="5"/>
      <c r="R127" s="10"/>
    </row>
    <row r="128" spans="1:18" ht="26.5">
      <c r="A128" s="20" t="str">
        <f t="shared" si="69"/>
        <v>RESP</v>
      </c>
      <c r="B128" s="20" t="str">
        <f t="shared" si="70"/>
        <v>INIT</v>
      </c>
      <c r="C128" s="20" t="str">
        <f t="shared" si="71"/>
        <v/>
      </c>
      <c r="D128" s="5"/>
      <c r="E128" s="28" t="s">
        <v>954</v>
      </c>
      <c r="F128" s="36" t="s">
        <v>912</v>
      </c>
      <c r="G128" s="30" t="s">
        <v>222</v>
      </c>
      <c r="H128" s="30" t="s">
        <v>218</v>
      </c>
      <c r="I128" s="30" t="s">
        <v>218</v>
      </c>
      <c r="J128" s="30"/>
      <c r="K128" s="30" t="s">
        <v>144</v>
      </c>
      <c r="L128" s="30"/>
      <c r="M128" s="30"/>
      <c r="N128" s="30"/>
      <c r="O128" s="31"/>
      <c r="P128" s="32"/>
      <c r="Q128" s="5"/>
      <c r="R128" s="10"/>
    </row>
    <row r="129" spans="1:18">
      <c r="A129" s="20" t="str">
        <f t="shared" si="69"/>
        <v>RESP</v>
      </c>
      <c r="B129" s="20" t="str">
        <f t="shared" si="70"/>
        <v>INIT</v>
      </c>
      <c r="C129" s="20" t="str">
        <f t="shared" si="71"/>
        <v/>
      </c>
      <c r="D129" s="5"/>
      <c r="E129" s="28" t="s">
        <v>955</v>
      </c>
      <c r="F129" s="36" t="s">
        <v>913</v>
      </c>
      <c r="G129" s="30" t="s">
        <v>222</v>
      </c>
      <c r="H129" s="30" t="s">
        <v>218</v>
      </c>
      <c r="I129" s="30" t="s">
        <v>218</v>
      </c>
      <c r="J129" s="30"/>
      <c r="K129" s="30" t="s">
        <v>144</v>
      </c>
      <c r="L129" s="30"/>
      <c r="M129" s="30"/>
      <c r="N129" s="30"/>
      <c r="O129" s="31"/>
      <c r="P129" s="32"/>
      <c r="Q129" s="5"/>
      <c r="R129" s="10"/>
    </row>
    <row r="130" spans="1:18">
      <c r="A130" s="20" t="str">
        <f t="shared" si="69"/>
        <v>RESP</v>
      </c>
      <c r="B130" s="20" t="str">
        <f t="shared" si="70"/>
        <v>INIT</v>
      </c>
      <c r="C130" s="20" t="str">
        <f t="shared" si="71"/>
        <v/>
      </c>
      <c r="D130" s="5"/>
      <c r="E130" s="28" t="s">
        <v>956</v>
      </c>
      <c r="F130" s="36" t="s">
        <v>914</v>
      </c>
      <c r="G130" s="30" t="s">
        <v>222</v>
      </c>
      <c r="H130" s="30" t="s">
        <v>218</v>
      </c>
      <c r="I130" s="30" t="s">
        <v>218</v>
      </c>
      <c r="J130" s="30"/>
      <c r="K130" s="30" t="s">
        <v>144</v>
      </c>
      <c r="L130" s="30"/>
      <c r="M130" s="30"/>
      <c r="N130" s="30"/>
      <c r="O130" s="31"/>
      <c r="P130" s="32"/>
      <c r="Q130" s="5"/>
      <c r="R130" s="10"/>
    </row>
    <row r="131" spans="1:18" ht="26.5">
      <c r="A131" s="20" t="str">
        <f t="shared" si="69"/>
        <v>RESP</v>
      </c>
      <c r="B131" s="20" t="str">
        <f t="shared" si="70"/>
        <v>INIT</v>
      </c>
      <c r="C131" s="20" t="str">
        <f t="shared" si="71"/>
        <v/>
      </c>
      <c r="D131" s="5"/>
      <c r="E131" s="28" t="s">
        <v>957</v>
      </c>
      <c r="F131" s="36" t="s">
        <v>915</v>
      </c>
      <c r="G131" s="30" t="s">
        <v>222</v>
      </c>
      <c r="H131" s="30" t="s">
        <v>218</v>
      </c>
      <c r="I131" s="30" t="s">
        <v>218</v>
      </c>
      <c r="J131" s="30"/>
      <c r="K131" s="30" t="s">
        <v>144</v>
      </c>
      <c r="L131" s="30"/>
      <c r="M131" s="30"/>
      <c r="N131" s="30"/>
      <c r="O131" s="31"/>
      <c r="P131" s="32"/>
      <c r="Q131" s="5"/>
      <c r="R131" s="10"/>
    </row>
    <row r="132" spans="1:18">
      <c r="A132" s="20" t="str">
        <f t="shared" si="69"/>
        <v>RESP</v>
      </c>
      <c r="B132" s="20" t="str">
        <f t="shared" si="70"/>
        <v>INIT</v>
      </c>
      <c r="C132" s="20" t="str">
        <f t="shared" si="71"/>
        <v/>
      </c>
      <c r="D132" s="5"/>
      <c r="E132" s="28" t="s">
        <v>958</v>
      </c>
      <c r="F132" s="36" t="s">
        <v>916</v>
      </c>
      <c r="G132" s="30" t="s">
        <v>222</v>
      </c>
      <c r="H132" s="30" t="s">
        <v>218</v>
      </c>
      <c r="I132" s="30" t="s">
        <v>218</v>
      </c>
      <c r="J132" s="30"/>
      <c r="K132" s="30" t="s">
        <v>144</v>
      </c>
      <c r="L132" s="30"/>
      <c r="M132" s="30"/>
      <c r="N132" s="30"/>
      <c r="O132" s="31"/>
      <c r="P132" s="32"/>
      <c r="Q132" s="5"/>
      <c r="R132" s="10"/>
    </row>
    <row r="133" spans="1:18">
      <c r="A133" s="20" t="str">
        <f t="shared" ref="A133:A135" si="72">IF(J133="","RESP","")</f>
        <v>RESP</v>
      </c>
      <c r="B133" s="20" t="str">
        <f t="shared" ref="B133:B135" si="73">IF(M133="","INIT","")</f>
        <v>INIT</v>
      </c>
      <c r="C133" s="20" t="str">
        <f t="shared" ref="C133:C135" si="74">IF(AND(J133="NO",O133=""),"CMTS","")</f>
        <v/>
      </c>
      <c r="D133" s="5"/>
      <c r="E133" s="28" t="s">
        <v>959</v>
      </c>
      <c r="F133" s="36" t="s">
        <v>917</v>
      </c>
      <c r="G133" s="30" t="s">
        <v>222</v>
      </c>
      <c r="H133" s="30" t="s">
        <v>218</v>
      </c>
      <c r="I133" s="30" t="s">
        <v>218</v>
      </c>
      <c r="J133" s="30"/>
      <c r="K133" s="30" t="s">
        <v>144</v>
      </c>
      <c r="L133" s="30"/>
      <c r="M133" s="30"/>
      <c r="N133" s="30"/>
      <c r="O133" s="31"/>
      <c r="P133" s="32"/>
      <c r="Q133" s="5"/>
      <c r="R133" s="10"/>
    </row>
    <row r="134" spans="1:18" ht="26.5">
      <c r="A134" s="20" t="str">
        <f t="shared" si="72"/>
        <v>RESP</v>
      </c>
      <c r="B134" s="20" t="str">
        <f t="shared" si="73"/>
        <v>INIT</v>
      </c>
      <c r="C134" s="20" t="str">
        <f t="shared" si="74"/>
        <v/>
      </c>
      <c r="D134" s="5"/>
      <c r="E134" s="28" t="s">
        <v>960</v>
      </c>
      <c r="F134" s="36" t="s">
        <v>918</v>
      </c>
      <c r="G134" s="30" t="s">
        <v>222</v>
      </c>
      <c r="H134" s="30" t="s">
        <v>218</v>
      </c>
      <c r="I134" s="30" t="s">
        <v>218</v>
      </c>
      <c r="J134" s="30"/>
      <c r="K134" s="30" t="s">
        <v>144</v>
      </c>
      <c r="L134" s="30"/>
      <c r="M134" s="30"/>
      <c r="N134" s="30"/>
      <c r="O134" s="31"/>
      <c r="P134" s="32"/>
      <c r="Q134" s="5"/>
      <c r="R134" s="10"/>
    </row>
    <row r="135" spans="1:18">
      <c r="A135" s="20" t="str">
        <f t="shared" si="72"/>
        <v>RESP</v>
      </c>
      <c r="B135" s="20" t="str">
        <f t="shared" si="73"/>
        <v>INIT</v>
      </c>
      <c r="C135" s="20" t="str">
        <f t="shared" si="74"/>
        <v/>
      </c>
      <c r="D135" s="5"/>
      <c r="E135" s="28" t="s">
        <v>961</v>
      </c>
      <c r="F135" s="36" t="s">
        <v>1063</v>
      </c>
      <c r="G135" s="30" t="s">
        <v>222</v>
      </c>
      <c r="H135" s="30" t="s">
        <v>218</v>
      </c>
      <c r="I135" s="30" t="s">
        <v>218</v>
      </c>
      <c r="J135" s="30"/>
      <c r="K135" s="30" t="s">
        <v>144</v>
      </c>
      <c r="L135" s="30"/>
      <c r="M135" s="30"/>
      <c r="N135" s="30"/>
      <c r="O135" s="31"/>
      <c r="P135" s="32"/>
      <c r="Q135" s="5"/>
      <c r="R135" s="10"/>
    </row>
    <row r="136" spans="1:18" ht="26.5">
      <c r="A136" s="20" t="str">
        <f t="shared" ref="A136" si="75">IF(J136="","RESP","")</f>
        <v>RESP</v>
      </c>
      <c r="B136" s="20" t="str">
        <f t="shared" ref="B136" si="76">IF(M136="","INIT","")</f>
        <v>INIT</v>
      </c>
      <c r="C136" s="20" t="str">
        <f t="shared" ref="C136" si="77">IF(AND(J136="NO",O136=""),"CMTS","")</f>
        <v/>
      </c>
      <c r="D136" s="5"/>
      <c r="E136" s="28" t="s">
        <v>962</v>
      </c>
      <c r="F136" s="36" t="s">
        <v>1064</v>
      </c>
      <c r="G136" s="30" t="s">
        <v>222</v>
      </c>
      <c r="H136" s="30" t="s">
        <v>218</v>
      </c>
      <c r="I136" s="30" t="s">
        <v>218</v>
      </c>
      <c r="J136" s="30"/>
      <c r="K136" s="30" t="s">
        <v>144</v>
      </c>
      <c r="L136" s="30"/>
      <c r="M136" s="30"/>
      <c r="N136" s="30"/>
      <c r="O136" s="31"/>
      <c r="P136" s="32"/>
      <c r="Q136" s="5"/>
      <c r="R136" s="10"/>
    </row>
    <row r="139" spans="1:18" ht="27.5">
      <c r="A139" s="12" t="s">
        <v>210</v>
      </c>
      <c r="B139" s="13"/>
      <c r="C139" s="13"/>
      <c r="D139" s="2"/>
      <c r="E139" s="22" t="s">
        <v>499</v>
      </c>
      <c r="F139" s="23"/>
      <c r="G139" s="40" t="s">
        <v>214</v>
      </c>
      <c r="H139" s="40" t="s">
        <v>215</v>
      </c>
      <c r="I139" s="40" t="s">
        <v>219</v>
      </c>
      <c r="J139" s="40" t="s">
        <v>211</v>
      </c>
      <c r="K139" s="40" t="s">
        <v>216</v>
      </c>
      <c r="L139" s="40" t="s">
        <v>217</v>
      </c>
      <c r="M139" s="40" t="s">
        <v>220</v>
      </c>
      <c r="N139" s="40" t="s">
        <v>221</v>
      </c>
      <c r="O139" s="40" t="s">
        <v>208</v>
      </c>
      <c r="P139" s="41" t="s">
        <v>249</v>
      </c>
      <c r="Q139" s="2"/>
      <c r="R139" s="9" t="s">
        <v>213</v>
      </c>
    </row>
    <row r="140" spans="1:18">
      <c r="A140" s="20" t="str">
        <f t="shared" ref="A140:A146" si="78">IF(J140="","RESP","")</f>
        <v>RESP</v>
      </c>
      <c r="B140" s="20" t="str">
        <f t="shared" ref="B140:B146" si="79">IF(M140="","INIT","")</f>
        <v>INIT</v>
      </c>
      <c r="C140" s="20" t="str">
        <f t="shared" ref="C140:C146" si="80">IF(AND(J140="NO",O140=""),"CMTS","")</f>
        <v/>
      </c>
      <c r="D140" s="5"/>
      <c r="E140" s="28" t="s">
        <v>506</v>
      </c>
      <c r="F140" s="36" t="s">
        <v>41</v>
      </c>
      <c r="G140" s="30" t="s">
        <v>218</v>
      </c>
      <c r="H140" s="30" t="s">
        <v>218</v>
      </c>
      <c r="I140" s="30" t="s">
        <v>218</v>
      </c>
      <c r="J140" s="30"/>
      <c r="K140" s="30" t="s">
        <v>194</v>
      </c>
      <c r="L140" s="30"/>
      <c r="M140" s="30"/>
      <c r="N140" s="30"/>
      <c r="O140" s="31"/>
      <c r="P140" s="32"/>
      <c r="Q140" s="5"/>
      <c r="R140" s="10"/>
    </row>
    <row r="141" spans="1:18">
      <c r="A141" s="20" t="str">
        <f t="shared" si="78"/>
        <v>RESP</v>
      </c>
      <c r="B141" s="20" t="str">
        <f t="shared" si="79"/>
        <v>INIT</v>
      </c>
      <c r="C141" s="20" t="str">
        <f t="shared" si="80"/>
        <v/>
      </c>
      <c r="D141" s="5"/>
      <c r="E141" s="28" t="s">
        <v>507</v>
      </c>
      <c r="F141" s="36" t="s">
        <v>107</v>
      </c>
      <c r="G141" s="30" t="s">
        <v>218</v>
      </c>
      <c r="H141" s="30" t="s">
        <v>218</v>
      </c>
      <c r="I141" s="30" t="s">
        <v>218</v>
      </c>
      <c r="J141" s="30"/>
      <c r="K141" s="30" t="s">
        <v>194</v>
      </c>
      <c r="L141" s="30"/>
      <c r="M141" s="30"/>
      <c r="N141" s="30"/>
      <c r="O141" s="31"/>
      <c r="P141" s="32"/>
      <c r="Q141" s="5"/>
      <c r="R141" s="10"/>
    </row>
    <row r="142" spans="1:18">
      <c r="A142" s="20" t="str">
        <f t="shared" si="78"/>
        <v>RESP</v>
      </c>
      <c r="B142" s="20" t="str">
        <f t="shared" si="79"/>
        <v>INIT</v>
      </c>
      <c r="C142" s="20" t="str">
        <f t="shared" si="80"/>
        <v/>
      </c>
      <c r="D142" s="5"/>
      <c r="E142" s="28" t="s">
        <v>508</v>
      </c>
      <c r="F142" s="36" t="s">
        <v>501</v>
      </c>
      <c r="G142" s="30" t="s">
        <v>218</v>
      </c>
      <c r="H142" s="30" t="s">
        <v>218</v>
      </c>
      <c r="I142" s="30" t="s">
        <v>218</v>
      </c>
      <c r="J142" s="30"/>
      <c r="K142" s="30" t="s">
        <v>194</v>
      </c>
      <c r="L142" s="30"/>
      <c r="M142" s="30"/>
      <c r="N142" s="30"/>
      <c r="O142" s="31"/>
      <c r="P142" s="32"/>
      <c r="Q142" s="5"/>
      <c r="R142" s="10"/>
    </row>
    <row r="143" spans="1:18">
      <c r="A143" s="20" t="str">
        <f t="shared" si="78"/>
        <v>RESP</v>
      </c>
      <c r="B143" s="20" t="str">
        <f t="shared" si="79"/>
        <v>INIT</v>
      </c>
      <c r="C143" s="20" t="str">
        <f t="shared" si="80"/>
        <v/>
      </c>
      <c r="D143" s="5"/>
      <c r="E143" s="28" t="s">
        <v>509</v>
      </c>
      <c r="F143" s="36" t="s">
        <v>502</v>
      </c>
      <c r="G143" s="30" t="s">
        <v>218</v>
      </c>
      <c r="H143" s="30" t="s">
        <v>218</v>
      </c>
      <c r="I143" s="30" t="s">
        <v>218</v>
      </c>
      <c r="J143" s="30"/>
      <c r="K143" s="30" t="s">
        <v>194</v>
      </c>
      <c r="L143" s="30"/>
      <c r="M143" s="30"/>
      <c r="N143" s="30"/>
      <c r="O143" s="31"/>
      <c r="P143" s="32"/>
      <c r="Q143" s="5"/>
      <c r="R143" s="10"/>
    </row>
    <row r="144" spans="1:18">
      <c r="A144" s="20" t="str">
        <f t="shared" si="78"/>
        <v>RESP</v>
      </c>
      <c r="B144" s="20" t="str">
        <f t="shared" si="79"/>
        <v>INIT</v>
      </c>
      <c r="C144" s="20" t="str">
        <f t="shared" si="80"/>
        <v/>
      </c>
      <c r="D144" s="5"/>
      <c r="E144" s="28" t="s">
        <v>510</v>
      </c>
      <c r="F144" s="36" t="s">
        <v>42</v>
      </c>
      <c r="G144" s="30" t="s">
        <v>218</v>
      </c>
      <c r="H144" s="30" t="s">
        <v>218</v>
      </c>
      <c r="I144" s="30" t="s">
        <v>218</v>
      </c>
      <c r="J144" s="30"/>
      <c r="K144" s="30" t="s">
        <v>144</v>
      </c>
      <c r="L144" s="30"/>
      <c r="M144" s="30"/>
      <c r="N144" s="30"/>
      <c r="O144" s="31"/>
      <c r="P144" s="32"/>
      <c r="Q144" s="5"/>
      <c r="R144" s="10"/>
    </row>
    <row r="145" spans="1:18" ht="26.5">
      <c r="A145" s="20" t="str">
        <f t="shared" si="78"/>
        <v>RESP</v>
      </c>
      <c r="B145" s="20" t="str">
        <f t="shared" si="79"/>
        <v>INIT</v>
      </c>
      <c r="C145" s="20" t="str">
        <f t="shared" si="80"/>
        <v/>
      </c>
      <c r="D145" s="5"/>
      <c r="E145" s="28" t="s">
        <v>511</v>
      </c>
      <c r="F145" s="36" t="s">
        <v>43</v>
      </c>
      <c r="G145" s="30" t="s">
        <v>218</v>
      </c>
      <c r="H145" s="30" t="s">
        <v>218</v>
      </c>
      <c r="I145" s="30" t="s">
        <v>218</v>
      </c>
      <c r="J145" s="30"/>
      <c r="K145" s="30" t="s">
        <v>194</v>
      </c>
      <c r="L145" s="30"/>
      <c r="M145" s="30"/>
      <c r="N145" s="30"/>
      <c r="O145" s="31"/>
      <c r="P145" s="32"/>
      <c r="Q145" s="5"/>
      <c r="R145" s="10"/>
    </row>
    <row r="146" spans="1:18" ht="65.5">
      <c r="A146" s="20" t="str">
        <f t="shared" si="78"/>
        <v>RESP</v>
      </c>
      <c r="B146" s="20" t="str">
        <f t="shared" si="79"/>
        <v>INIT</v>
      </c>
      <c r="C146" s="20" t="str">
        <f t="shared" si="80"/>
        <v/>
      </c>
      <c r="D146" s="5"/>
      <c r="E146" s="28" t="s">
        <v>512</v>
      </c>
      <c r="F146" s="36" t="s">
        <v>503</v>
      </c>
      <c r="G146" s="30" t="s">
        <v>218</v>
      </c>
      <c r="H146" s="30" t="s">
        <v>218</v>
      </c>
      <c r="I146" s="30" t="s">
        <v>218</v>
      </c>
      <c r="J146" s="30"/>
      <c r="K146" s="30" t="s">
        <v>194</v>
      </c>
      <c r="L146" s="30"/>
      <c r="M146" s="30"/>
      <c r="N146" s="30"/>
      <c r="O146" s="31"/>
      <c r="P146" s="32"/>
      <c r="Q146" s="5"/>
      <c r="R146" s="10"/>
    </row>
    <row r="147" spans="1:18">
      <c r="A147" s="20" t="str">
        <f t="shared" ref="A147:A149" si="81">IF(J147="","RESP","")</f>
        <v>RESP</v>
      </c>
      <c r="B147" s="20" t="str">
        <f t="shared" ref="B147:B149" si="82">IF(M147="","INIT","")</f>
        <v>INIT</v>
      </c>
      <c r="C147" s="20" t="str">
        <f t="shared" ref="C147:C149" si="83">IF(AND(J147="NO",O147=""),"CMTS","")</f>
        <v/>
      </c>
      <c r="D147" s="5"/>
      <c r="E147" s="28" t="s">
        <v>513</v>
      </c>
      <c r="F147" s="36" t="s">
        <v>160</v>
      </c>
      <c r="G147" s="30" t="s">
        <v>218</v>
      </c>
      <c r="H147" s="30" t="s">
        <v>218</v>
      </c>
      <c r="I147" s="30" t="s">
        <v>218</v>
      </c>
      <c r="J147" s="30"/>
      <c r="K147" s="30" t="s">
        <v>144</v>
      </c>
      <c r="L147" s="30"/>
      <c r="M147" s="30"/>
      <c r="N147" s="30"/>
      <c r="O147" s="31"/>
      <c r="P147" s="32"/>
      <c r="Q147" s="5"/>
      <c r="R147" s="10"/>
    </row>
    <row r="148" spans="1:18">
      <c r="A148" s="20" t="str">
        <f t="shared" si="81"/>
        <v>RESP</v>
      </c>
      <c r="B148" s="20" t="str">
        <f t="shared" si="82"/>
        <v>INIT</v>
      </c>
      <c r="C148" s="20" t="str">
        <f t="shared" si="83"/>
        <v/>
      </c>
      <c r="D148" s="5"/>
      <c r="E148" s="28" t="s">
        <v>514</v>
      </c>
      <c r="F148" s="36" t="s">
        <v>44</v>
      </c>
      <c r="G148" s="30" t="s">
        <v>218</v>
      </c>
      <c r="H148" s="30" t="s">
        <v>218</v>
      </c>
      <c r="I148" s="30" t="s">
        <v>218</v>
      </c>
      <c r="J148" s="30"/>
      <c r="K148" s="30" t="s">
        <v>144</v>
      </c>
      <c r="L148" s="30"/>
      <c r="M148" s="30"/>
      <c r="N148" s="30"/>
      <c r="O148" s="31"/>
      <c r="P148" s="32"/>
      <c r="Q148" s="5"/>
      <c r="R148" s="10"/>
    </row>
    <row r="149" spans="1:18">
      <c r="A149" s="20" t="str">
        <f t="shared" si="81"/>
        <v>RESP</v>
      </c>
      <c r="B149" s="20" t="str">
        <f t="shared" si="82"/>
        <v>INIT</v>
      </c>
      <c r="C149" s="20" t="str">
        <f t="shared" si="83"/>
        <v/>
      </c>
      <c r="D149" s="5"/>
      <c r="E149" s="28" t="s">
        <v>515</v>
      </c>
      <c r="F149" s="36" t="s">
        <v>141</v>
      </c>
      <c r="G149" s="30" t="s">
        <v>218</v>
      </c>
      <c r="H149" s="30" t="s">
        <v>218</v>
      </c>
      <c r="I149" s="30" t="s">
        <v>218</v>
      </c>
      <c r="J149" s="30"/>
      <c r="K149" s="30" t="s">
        <v>194</v>
      </c>
      <c r="L149" s="30"/>
      <c r="M149" s="30"/>
      <c r="N149" s="30"/>
      <c r="O149" s="31"/>
      <c r="P149" s="32"/>
      <c r="Q149" s="5"/>
      <c r="R149" s="10"/>
    </row>
    <row r="150" spans="1:18">
      <c r="A150" s="20" t="str">
        <f t="shared" ref="A150:A151" si="84">IF(J150="","RESP","")</f>
        <v>RESP</v>
      </c>
      <c r="B150" s="20" t="str">
        <f t="shared" ref="B150:B151" si="85">IF(M150="","INIT","")</f>
        <v>INIT</v>
      </c>
      <c r="C150" s="20" t="str">
        <f t="shared" ref="C150:C151" si="86">IF(AND(J150="NO",O150=""),"CMTS","")</f>
        <v/>
      </c>
      <c r="D150" s="5"/>
      <c r="E150" s="28" t="s">
        <v>516</v>
      </c>
      <c r="F150" s="36" t="s">
        <v>142</v>
      </c>
      <c r="G150" s="30" t="s">
        <v>218</v>
      </c>
      <c r="H150" s="30" t="s">
        <v>218</v>
      </c>
      <c r="I150" s="30" t="s">
        <v>218</v>
      </c>
      <c r="J150" s="30"/>
      <c r="K150" s="30" t="s">
        <v>194</v>
      </c>
      <c r="L150" s="30"/>
      <c r="M150" s="30"/>
      <c r="N150" s="30"/>
      <c r="O150" s="31"/>
      <c r="P150" s="32"/>
      <c r="Q150" s="5"/>
      <c r="R150" s="10"/>
    </row>
    <row r="151" spans="1:18" ht="26.5">
      <c r="A151" s="20" t="str">
        <f t="shared" si="84"/>
        <v>RESP</v>
      </c>
      <c r="B151" s="20" t="str">
        <f t="shared" si="85"/>
        <v>INIT</v>
      </c>
      <c r="C151" s="20" t="str">
        <f t="shared" si="86"/>
        <v/>
      </c>
      <c r="D151" s="5"/>
      <c r="E151" s="28" t="s">
        <v>517</v>
      </c>
      <c r="F151" s="36" t="s">
        <v>205</v>
      </c>
      <c r="G151" s="30" t="s">
        <v>218</v>
      </c>
      <c r="H151" s="30" t="s">
        <v>218</v>
      </c>
      <c r="I151" s="30" t="s">
        <v>218</v>
      </c>
      <c r="J151" s="30"/>
      <c r="K151" s="30" t="s">
        <v>144</v>
      </c>
      <c r="L151" s="30"/>
      <c r="M151" s="30"/>
      <c r="N151" s="30"/>
      <c r="O151" s="31"/>
      <c r="P151" s="32"/>
      <c r="Q151" s="5"/>
      <c r="R151" s="10"/>
    </row>
    <row r="154" spans="1:18" ht="27.5">
      <c r="A154" s="12" t="s">
        <v>210</v>
      </c>
      <c r="B154" s="13"/>
      <c r="C154" s="13"/>
      <c r="D154" s="2"/>
      <c r="E154" s="22" t="s">
        <v>500</v>
      </c>
      <c r="F154" s="23"/>
      <c r="G154" s="40" t="s">
        <v>214</v>
      </c>
      <c r="H154" s="40" t="s">
        <v>215</v>
      </c>
      <c r="I154" s="40" t="s">
        <v>219</v>
      </c>
      <c r="J154" s="40" t="s">
        <v>211</v>
      </c>
      <c r="K154" s="40" t="s">
        <v>216</v>
      </c>
      <c r="L154" s="40" t="s">
        <v>217</v>
      </c>
      <c r="M154" s="40" t="s">
        <v>220</v>
      </c>
      <c r="N154" s="40" t="s">
        <v>221</v>
      </c>
      <c r="O154" s="40" t="s">
        <v>208</v>
      </c>
      <c r="P154" s="41" t="s">
        <v>249</v>
      </c>
      <c r="Q154" s="2"/>
      <c r="R154" s="9" t="s">
        <v>213</v>
      </c>
    </row>
    <row r="155" spans="1:18" ht="26.5">
      <c r="A155" s="20" t="str">
        <f t="shared" ref="A155:A156" si="87">IF(J155="","RESP","")</f>
        <v>RESP</v>
      </c>
      <c r="B155" s="20" t="str">
        <f t="shared" ref="B155:B156" si="88">IF(M155="","INIT","")</f>
        <v>INIT</v>
      </c>
      <c r="C155" s="20" t="str">
        <f t="shared" ref="C155:C156" si="89">IF(AND(J155="NO",O155=""),"CMTS","")</f>
        <v/>
      </c>
      <c r="D155" s="5"/>
      <c r="E155" s="28" t="s">
        <v>504</v>
      </c>
      <c r="F155" s="36" t="s">
        <v>108</v>
      </c>
      <c r="G155" s="30" t="s">
        <v>218</v>
      </c>
      <c r="H155" s="30" t="s">
        <v>218</v>
      </c>
      <c r="I155" s="30" t="s">
        <v>218</v>
      </c>
      <c r="J155" s="30"/>
      <c r="K155" s="30" t="s">
        <v>144</v>
      </c>
      <c r="L155" s="30"/>
      <c r="M155" s="30"/>
      <c r="N155" s="30"/>
      <c r="O155" s="31"/>
      <c r="P155" s="32"/>
      <c r="Q155" s="5"/>
      <c r="R155" s="10"/>
    </row>
    <row r="156" spans="1:18" ht="39.5">
      <c r="A156" s="20" t="str">
        <f t="shared" si="87"/>
        <v>RESP</v>
      </c>
      <c r="B156" s="20" t="str">
        <f t="shared" si="88"/>
        <v>INIT</v>
      </c>
      <c r="C156" s="20" t="str">
        <f t="shared" si="89"/>
        <v/>
      </c>
      <c r="D156" s="5"/>
      <c r="E156" s="28" t="s">
        <v>505</v>
      </c>
      <c r="F156" s="36" t="s">
        <v>158</v>
      </c>
      <c r="G156" s="30" t="s">
        <v>218</v>
      </c>
      <c r="H156" s="30" t="s">
        <v>218</v>
      </c>
      <c r="I156" s="30" t="s">
        <v>218</v>
      </c>
      <c r="J156" s="30"/>
      <c r="K156" s="30" t="s">
        <v>144</v>
      </c>
      <c r="L156" s="30"/>
      <c r="M156" s="30"/>
      <c r="N156" s="30"/>
      <c r="O156" s="31"/>
      <c r="P156" s="32"/>
      <c r="Q156" s="5"/>
      <c r="R156" s="10"/>
    </row>
    <row r="159" spans="1:18" ht="27.5">
      <c r="A159" s="12" t="s">
        <v>210</v>
      </c>
      <c r="B159" s="13"/>
      <c r="C159" s="13"/>
      <c r="D159" s="2"/>
      <c r="E159" s="22" t="s">
        <v>921</v>
      </c>
      <c r="F159" s="23"/>
      <c r="G159" s="40" t="s">
        <v>214</v>
      </c>
      <c r="H159" s="40" t="s">
        <v>215</v>
      </c>
      <c r="I159" s="40" t="s">
        <v>219</v>
      </c>
      <c r="J159" s="40" t="s">
        <v>211</v>
      </c>
      <c r="K159" s="40" t="s">
        <v>216</v>
      </c>
      <c r="L159" s="40" t="s">
        <v>217</v>
      </c>
      <c r="M159" s="40" t="s">
        <v>220</v>
      </c>
      <c r="N159" s="40" t="s">
        <v>221</v>
      </c>
      <c r="O159" s="40" t="s">
        <v>208</v>
      </c>
      <c r="P159" s="41" t="s">
        <v>249</v>
      </c>
      <c r="Q159" s="2"/>
      <c r="R159" s="9" t="s">
        <v>213</v>
      </c>
    </row>
    <row r="160" spans="1:18">
      <c r="A160" s="20" t="str">
        <f t="shared" ref="A160:A161" si="90">IF(J160="","RESP","")</f>
        <v>RESP</v>
      </c>
      <c r="B160" s="20" t="str">
        <f t="shared" ref="B160:B161" si="91">IF(M160="","INIT","")</f>
        <v>INIT</v>
      </c>
      <c r="C160" s="20" t="str">
        <f t="shared" ref="C160:C161" si="92">IF(AND(J160="NO",O160=""),"CMTS","")</f>
        <v/>
      </c>
      <c r="D160" s="5"/>
      <c r="E160" s="28" t="s">
        <v>922</v>
      </c>
      <c r="F160" s="36" t="s">
        <v>919</v>
      </c>
      <c r="G160" s="30" t="s">
        <v>218</v>
      </c>
      <c r="H160" s="30" t="s">
        <v>218</v>
      </c>
      <c r="I160" s="30" t="s">
        <v>218</v>
      </c>
      <c r="J160" s="30"/>
      <c r="K160" s="30" t="s">
        <v>144</v>
      </c>
      <c r="L160" s="30"/>
      <c r="M160" s="30"/>
      <c r="N160" s="30"/>
      <c r="O160" s="31"/>
      <c r="P160" s="32"/>
      <c r="Q160" s="5"/>
      <c r="R160" s="10"/>
    </row>
    <row r="161" spans="1:18">
      <c r="A161" s="20" t="str">
        <f t="shared" si="90"/>
        <v>RESP</v>
      </c>
      <c r="B161" s="20" t="str">
        <f t="shared" si="91"/>
        <v>INIT</v>
      </c>
      <c r="C161" s="20" t="str">
        <f t="shared" si="92"/>
        <v/>
      </c>
      <c r="D161" s="5"/>
      <c r="E161" s="28" t="s">
        <v>923</v>
      </c>
      <c r="F161" s="36" t="s">
        <v>920</v>
      </c>
      <c r="G161" s="30" t="s">
        <v>218</v>
      </c>
      <c r="H161" s="30" t="s">
        <v>218</v>
      </c>
      <c r="I161" s="30" t="s">
        <v>218</v>
      </c>
      <c r="J161" s="30"/>
      <c r="K161" s="30" t="s">
        <v>144</v>
      </c>
      <c r="L161" s="30"/>
      <c r="M161" s="30"/>
      <c r="N161" s="30"/>
      <c r="O161" s="31"/>
      <c r="P161" s="32"/>
      <c r="Q161" s="5"/>
      <c r="R161" s="10"/>
    </row>
    <row r="164" spans="1:18" ht="27.5">
      <c r="A164" s="12" t="s">
        <v>210</v>
      </c>
      <c r="B164" s="13"/>
      <c r="C164" s="13"/>
      <c r="D164" s="2"/>
      <c r="E164" s="22" t="s">
        <v>525</v>
      </c>
      <c r="F164" s="23"/>
      <c r="G164" s="40" t="s">
        <v>214</v>
      </c>
      <c r="H164" s="40" t="s">
        <v>215</v>
      </c>
      <c r="I164" s="40" t="s">
        <v>219</v>
      </c>
      <c r="J164" s="40" t="s">
        <v>211</v>
      </c>
      <c r="K164" s="40" t="s">
        <v>216</v>
      </c>
      <c r="L164" s="40" t="s">
        <v>217</v>
      </c>
      <c r="M164" s="40" t="s">
        <v>220</v>
      </c>
      <c r="N164" s="40" t="s">
        <v>221</v>
      </c>
      <c r="O164" s="40" t="s">
        <v>208</v>
      </c>
      <c r="P164" s="41" t="s">
        <v>249</v>
      </c>
      <c r="Q164" s="2"/>
      <c r="R164" s="9" t="s">
        <v>213</v>
      </c>
    </row>
    <row r="165" spans="1:18">
      <c r="A165" s="20" t="str">
        <f t="shared" ref="A165:A166" si="93">IF(J165="","RESP","")</f>
        <v>RESP</v>
      </c>
      <c r="B165" s="20" t="str">
        <f t="shared" ref="B165:B166" si="94">IF(M165="","INIT","")</f>
        <v>INIT</v>
      </c>
      <c r="C165" s="20" t="str">
        <f t="shared" ref="C165:C166" si="95">IF(AND(J165="NO",O165=""),"CMTS","")</f>
        <v/>
      </c>
      <c r="D165" s="5"/>
      <c r="E165" s="28" t="s">
        <v>518</v>
      </c>
      <c r="F165" s="36" t="s">
        <v>151</v>
      </c>
      <c r="G165" s="30" t="s">
        <v>218</v>
      </c>
      <c r="H165" s="30" t="s">
        <v>218</v>
      </c>
      <c r="I165" s="30" t="s">
        <v>218</v>
      </c>
      <c r="J165" s="30"/>
      <c r="K165" s="30" t="s">
        <v>144</v>
      </c>
      <c r="L165" s="30"/>
      <c r="M165" s="30"/>
      <c r="N165" s="30"/>
      <c r="O165" s="31"/>
      <c r="P165" s="32"/>
      <c r="Q165" s="5"/>
      <c r="R165" s="10"/>
    </row>
    <row r="166" spans="1:18">
      <c r="A166" s="20" t="str">
        <f t="shared" si="93"/>
        <v>RESP</v>
      </c>
      <c r="B166" s="20" t="str">
        <f t="shared" si="94"/>
        <v>INIT</v>
      </c>
      <c r="C166" s="20" t="str">
        <f t="shared" si="95"/>
        <v/>
      </c>
      <c r="D166" s="5"/>
      <c r="E166" s="28" t="s">
        <v>519</v>
      </c>
      <c r="F166" s="36" t="s">
        <v>180</v>
      </c>
      <c r="G166" s="30" t="s">
        <v>218</v>
      </c>
      <c r="H166" s="30" t="s">
        <v>218</v>
      </c>
      <c r="I166" s="30" t="s">
        <v>218</v>
      </c>
      <c r="J166" s="30"/>
      <c r="K166" s="30" t="s">
        <v>144</v>
      </c>
      <c r="L166" s="30"/>
      <c r="M166" s="30"/>
      <c r="N166" s="30"/>
      <c r="O166" s="31"/>
      <c r="P166" s="32"/>
      <c r="Q166" s="5"/>
      <c r="R166" s="10"/>
    </row>
    <row r="169" spans="1:18" ht="27.5">
      <c r="A169" s="12" t="s">
        <v>210</v>
      </c>
      <c r="B169" s="13"/>
      <c r="C169" s="13"/>
      <c r="D169" s="2"/>
      <c r="E169" s="22" t="s">
        <v>526</v>
      </c>
      <c r="F169" s="23"/>
      <c r="G169" s="40" t="s">
        <v>214</v>
      </c>
      <c r="H169" s="40" t="s">
        <v>215</v>
      </c>
      <c r="I169" s="40" t="s">
        <v>219</v>
      </c>
      <c r="J169" s="40" t="s">
        <v>211</v>
      </c>
      <c r="K169" s="40" t="s">
        <v>216</v>
      </c>
      <c r="L169" s="40" t="s">
        <v>217</v>
      </c>
      <c r="M169" s="40" t="s">
        <v>220</v>
      </c>
      <c r="N169" s="40" t="s">
        <v>221</v>
      </c>
      <c r="O169" s="40" t="s">
        <v>208</v>
      </c>
      <c r="P169" s="41" t="s">
        <v>249</v>
      </c>
      <c r="Q169" s="2"/>
      <c r="R169" s="9" t="s">
        <v>213</v>
      </c>
    </row>
    <row r="170" spans="1:18">
      <c r="A170" s="20" t="str">
        <f t="shared" ref="A170:A175" si="96">IF(J170="","RESP","")</f>
        <v>RESP</v>
      </c>
      <c r="B170" s="20" t="str">
        <f t="shared" ref="B170:B175" si="97">IF(M170="","INIT","")</f>
        <v>INIT</v>
      </c>
      <c r="C170" s="20" t="str">
        <f t="shared" ref="C170:C175" si="98">IF(AND(J170="NO",O170=""),"CMTS","")</f>
        <v/>
      </c>
      <c r="D170" s="5"/>
      <c r="E170" s="28" t="s">
        <v>520</v>
      </c>
      <c r="F170" s="36" t="s">
        <v>45</v>
      </c>
      <c r="G170" s="30" t="s">
        <v>218</v>
      </c>
      <c r="H170" s="30" t="s">
        <v>218</v>
      </c>
      <c r="I170" s="30" t="s">
        <v>218</v>
      </c>
      <c r="J170" s="30"/>
      <c r="K170" s="30" t="s">
        <v>144</v>
      </c>
      <c r="L170" s="30"/>
      <c r="M170" s="30"/>
      <c r="N170" s="30"/>
      <c r="O170" s="31"/>
      <c r="P170" s="32"/>
      <c r="Q170" s="5"/>
      <c r="R170" s="10"/>
    </row>
    <row r="171" spans="1:18">
      <c r="A171" s="20" t="str">
        <f t="shared" si="96"/>
        <v>RESP</v>
      </c>
      <c r="B171" s="20" t="str">
        <f t="shared" si="97"/>
        <v>INIT</v>
      </c>
      <c r="C171" s="20" t="str">
        <f t="shared" si="98"/>
        <v/>
      </c>
      <c r="D171" s="5"/>
      <c r="E171" s="28" t="s">
        <v>521</v>
      </c>
      <c r="F171" s="36" t="s">
        <v>46</v>
      </c>
      <c r="G171" s="30" t="s">
        <v>218</v>
      </c>
      <c r="H171" s="30" t="s">
        <v>218</v>
      </c>
      <c r="I171" s="30" t="s">
        <v>218</v>
      </c>
      <c r="J171" s="30"/>
      <c r="K171" s="30" t="s">
        <v>144</v>
      </c>
      <c r="L171" s="30"/>
      <c r="M171" s="30"/>
      <c r="N171" s="30"/>
      <c r="O171" s="31"/>
      <c r="P171" s="32"/>
      <c r="Q171" s="5"/>
      <c r="R171" s="10"/>
    </row>
    <row r="172" spans="1:18">
      <c r="A172" s="20" t="str">
        <f t="shared" si="96"/>
        <v>RESP</v>
      </c>
      <c r="B172" s="20" t="str">
        <f t="shared" si="97"/>
        <v>INIT</v>
      </c>
      <c r="C172" s="20" t="str">
        <f t="shared" si="98"/>
        <v/>
      </c>
      <c r="D172" s="5"/>
      <c r="E172" s="28" t="s">
        <v>522</v>
      </c>
      <c r="F172" s="36" t="s">
        <v>47</v>
      </c>
      <c r="G172" s="30" t="s">
        <v>218</v>
      </c>
      <c r="H172" s="30" t="s">
        <v>218</v>
      </c>
      <c r="I172" s="30" t="s">
        <v>218</v>
      </c>
      <c r="J172" s="30"/>
      <c r="K172" s="30" t="s">
        <v>144</v>
      </c>
      <c r="L172" s="30"/>
      <c r="M172" s="30"/>
      <c r="N172" s="30"/>
      <c r="O172" s="31"/>
      <c r="P172" s="32"/>
      <c r="Q172" s="5"/>
      <c r="R172" s="10"/>
    </row>
    <row r="173" spans="1:18">
      <c r="A173" s="20" t="str">
        <f t="shared" si="96"/>
        <v>RESP</v>
      </c>
      <c r="B173" s="20" t="str">
        <f t="shared" si="97"/>
        <v>INIT</v>
      </c>
      <c r="C173" s="20" t="str">
        <f t="shared" si="98"/>
        <v/>
      </c>
      <c r="D173" s="5"/>
      <c r="E173" s="28" t="s">
        <v>523</v>
      </c>
      <c r="F173" s="36" t="s">
        <v>48</v>
      </c>
      <c r="G173" s="30" t="s">
        <v>218</v>
      </c>
      <c r="H173" s="30" t="s">
        <v>218</v>
      </c>
      <c r="I173" s="30" t="s">
        <v>218</v>
      </c>
      <c r="J173" s="30"/>
      <c r="K173" s="30" t="s">
        <v>144</v>
      </c>
      <c r="L173" s="30"/>
      <c r="M173" s="30"/>
      <c r="N173" s="30"/>
      <c r="O173" s="31"/>
      <c r="P173" s="32"/>
      <c r="Q173" s="5"/>
      <c r="R173" s="10"/>
    </row>
    <row r="174" spans="1:18">
      <c r="A174" s="20" t="str">
        <f t="shared" si="96"/>
        <v>RESP</v>
      </c>
      <c r="B174" s="20" t="str">
        <f t="shared" si="97"/>
        <v>INIT</v>
      </c>
      <c r="C174" s="20" t="str">
        <f t="shared" si="98"/>
        <v/>
      </c>
      <c r="D174" s="5"/>
      <c r="E174" s="28" t="s">
        <v>524</v>
      </c>
      <c r="F174" s="36" t="s">
        <v>143</v>
      </c>
      <c r="G174" s="30" t="s">
        <v>218</v>
      </c>
      <c r="H174" s="30" t="s">
        <v>218</v>
      </c>
      <c r="I174" s="30" t="s">
        <v>218</v>
      </c>
      <c r="J174" s="30"/>
      <c r="K174" s="30" t="s">
        <v>144</v>
      </c>
      <c r="L174" s="30"/>
      <c r="M174" s="30"/>
      <c r="N174" s="30"/>
      <c r="O174" s="31"/>
      <c r="P174" s="32"/>
      <c r="Q174" s="5"/>
      <c r="R174" s="10"/>
    </row>
    <row r="175" spans="1:18">
      <c r="A175" s="20" t="str">
        <f t="shared" si="96"/>
        <v>RESP</v>
      </c>
      <c r="B175" s="20" t="str">
        <f t="shared" si="97"/>
        <v>INIT</v>
      </c>
      <c r="C175" s="20" t="str">
        <f t="shared" si="98"/>
        <v/>
      </c>
      <c r="D175" s="5"/>
      <c r="E175" s="28" t="s">
        <v>527</v>
      </c>
      <c r="F175" s="36" t="s">
        <v>49</v>
      </c>
      <c r="G175" s="30" t="s">
        <v>218</v>
      </c>
      <c r="H175" s="30" t="s">
        <v>218</v>
      </c>
      <c r="I175" s="30" t="s">
        <v>218</v>
      </c>
      <c r="J175" s="30"/>
      <c r="K175" s="30" t="s">
        <v>144</v>
      </c>
      <c r="L175" s="30"/>
      <c r="M175" s="30"/>
      <c r="N175" s="30"/>
      <c r="O175" s="31"/>
      <c r="P175" s="32"/>
      <c r="Q175" s="5"/>
      <c r="R175" s="10"/>
    </row>
    <row r="178" spans="1:18" ht="27.5">
      <c r="A178" s="12" t="s">
        <v>210</v>
      </c>
      <c r="B178" s="13"/>
      <c r="C178" s="13"/>
      <c r="D178" s="2"/>
      <c r="E178" s="22" t="s">
        <v>528</v>
      </c>
      <c r="F178" s="23"/>
      <c r="G178" s="40" t="s">
        <v>214</v>
      </c>
      <c r="H178" s="40" t="s">
        <v>215</v>
      </c>
      <c r="I178" s="40" t="s">
        <v>219</v>
      </c>
      <c r="J178" s="40" t="s">
        <v>211</v>
      </c>
      <c r="K178" s="40" t="s">
        <v>216</v>
      </c>
      <c r="L178" s="40" t="s">
        <v>217</v>
      </c>
      <c r="M178" s="40" t="s">
        <v>220</v>
      </c>
      <c r="N178" s="40" t="s">
        <v>221</v>
      </c>
      <c r="O178" s="40" t="s">
        <v>208</v>
      </c>
      <c r="P178" s="41" t="s">
        <v>249</v>
      </c>
      <c r="Q178" s="2"/>
      <c r="R178" s="9" t="s">
        <v>213</v>
      </c>
    </row>
    <row r="179" spans="1:18">
      <c r="A179" s="20" t="str">
        <f t="shared" ref="A179:A183" si="99">IF(J179="","RESP","")</f>
        <v>RESP</v>
      </c>
      <c r="B179" s="20" t="str">
        <f t="shared" ref="B179:B183" si="100">IF(M179="","INIT","")</f>
        <v>INIT</v>
      </c>
      <c r="C179" s="20" t="str">
        <f t="shared" ref="C179:C183" si="101">IF(AND(J179="NO",O179=""),"CMTS","")</f>
        <v/>
      </c>
      <c r="D179" s="5"/>
      <c r="E179" s="28" t="s">
        <v>529</v>
      </c>
      <c r="F179" s="36" t="s">
        <v>145</v>
      </c>
      <c r="G179" s="30" t="s">
        <v>218</v>
      </c>
      <c r="H179" s="30" t="s">
        <v>218</v>
      </c>
      <c r="I179" s="30" t="s">
        <v>218</v>
      </c>
      <c r="J179" s="30"/>
      <c r="K179" s="30" t="s">
        <v>194</v>
      </c>
      <c r="L179" s="30"/>
      <c r="M179" s="30"/>
      <c r="N179" s="30"/>
      <c r="O179" s="31"/>
      <c r="P179" s="32"/>
      <c r="Q179" s="5"/>
      <c r="R179" s="10"/>
    </row>
    <row r="180" spans="1:18" ht="52.5">
      <c r="A180" s="20" t="str">
        <f t="shared" si="99"/>
        <v>RESP</v>
      </c>
      <c r="B180" s="20" t="str">
        <f t="shared" si="100"/>
        <v>INIT</v>
      </c>
      <c r="C180" s="20" t="str">
        <f t="shared" si="101"/>
        <v/>
      </c>
      <c r="D180" s="5"/>
      <c r="E180" s="28" t="s">
        <v>530</v>
      </c>
      <c r="F180" s="36" t="s">
        <v>149</v>
      </c>
      <c r="G180" s="30" t="s">
        <v>222</v>
      </c>
      <c r="H180" s="30" t="s">
        <v>218</v>
      </c>
      <c r="I180" s="30" t="s">
        <v>218</v>
      </c>
      <c r="J180" s="30"/>
      <c r="K180" s="30" t="s">
        <v>194</v>
      </c>
      <c r="L180" s="30"/>
      <c r="M180" s="30"/>
      <c r="N180" s="30"/>
      <c r="O180" s="31"/>
      <c r="P180" s="32"/>
      <c r="Q180" s="5"/>
      <c r="R180" s="10"/>
    </row>
    <row r="181" spans="1:18">
      <c r="A181" s="20" t="str">
        <f t="shared" si="99"/>
        <v>RESP</v>
      </c>
      <c r="B181" s="20" t="str">
        <f t="shared" si="100"/>
        <v>INIT</v>
      </c>
      <c r="C181" s="20" t="str">
        <f t="shared" si="101"/>
        <v/>
      </c>
      <c r="D181" s="5"/>
      <c r="E181" s="28" t="s">
        <v>531</v>
      </c>
      <c r="F181" s="36" t="s">
        <v>185</v>
      </c>
      <c r="G181" s="30" t="s">
        <v>222</v>
      </c>
      <c r="H181" s="30" t="s">
        <v>218</v>
      </c>
      <c r="I181" s="30" t="s">
        <v>218</v>
      </c>
      <c r="J181" s="30"/>
      <c r="K181" s="30" t="s">
        <v>194</v>
      </c>
      <c r="L181" s="30"/>
      <c r="M181" s="30"/>
      <c r="N181" s="30"/>
      <c r="O181" s="31"/>
      <c r="P181" s="32"/>
      <c r="Q181" s="5"/>
      <c r="R181" s="10"/>
    </row>
    <row r="182" spans="1:18" ht="26.5">
      <c r="A182" s="20" t="str">
        <f t="shared" si="99"/>
        <v>RESP</v>
      </c>
      <c r="B182" s="20" t="str">
        <f t="shared" si="100"/>
        <v>INIT</v>
      </c>
      <c r="C182" s="20" t="str">
        <f t="shared" si="101"/>
        <v/>
      </c>
      <c r="D182" s="5"/>
      <c r="E182" s="28" t="s">
        <v>532</v>
      </c>
      <c r="F182" s="36" t="s">
        <v>150</v>
      </c>
      <c r="G182" s="30" t="s">
        <v>222</v>
      </c>
      <c r="H182" s="30" t="s">
        <v>218</v>
      </c>
      <c r="I182" s="30" t="s">
        <v>218</v>
      </c>
      <c r="J182" s="30"/>
      <c r="K182" s="30" t="s">
        <v>194</v>
      </c>
      <c r="L182" s="30"/>
      <c r="M182" s="30"/>
      <c r="N182" s="30"/>
      <c r="O182" s="31"/>
      <c r="P182" s="32"/>
      <c r="Q182" s="5"/>
      <c r="R182" s="10"/>
    </row>
    <row r="183" spans="1:18">
      <c r="A183" s="20" t="str">
        <f t="shared" si="99"/>
        <v>RESP</v>
      </c>
      <c r="B183" s="20" t="str">
        <f t="shared" si="100"/>
        <v>INIT</v>
      </c>
      <c r="C183" s="20" t="str">
        <f t="shared" si="101"/>
        <v/>
      </c>
      <c r="D183" s="5"/>
      <c r="E183" s="28" t="s">
        <v>533</v>
      </c>
      <c r="F183" s="36" t="s">
        <v>146</v>
      </c>
      <c r="G183" s="30" t="s">
        <v>222</v>
      </c>
      <c r="H183" s="30" t="s">
        <v>218</v>
      </c>
      <c r="I183" s="30" t="s">
        <v>218</v>
      </c>
      <c r="J183" s="30"/>
      <c r="K183" s="30" t="s">
        <v>194</v>
      </c>
      <c r="L183" s="30"/>
      <c r="M183" s="30"/>
      <c r="N183" s="30"/>
      <c r="O183" s="31"/>
      <c r="P183" s="32"/>
      <c r="Q183" s="5"/>
      <c r="R183" s="10"/>
    </row>
    <row r="186" spans="1:18" ht="27.5">
      <c r="A186" s="12" t="s">
        <v>210</v>
      </c>
      <c r="B186" s="13"/>
      <c r="C186" s="13"/>
      <c r="D186" s="2"/>
      <c r="E186" s="22" t="s">
        <v>534</v>
      </c>
      <c r="F186" s="23"/>
      <c r="G186" s="40" t="s">
        <v>214</v>
      </c>
      <c r="H186" s="40" t="s">
        <v>215</v>
      </c>
      <c r="I186" s="40" t="s">
        <v>219</v>
      </c>
      <c r="J186" s="40" t="s">
        <v>211</v>
      </c>
      <c r="K186" s="40" t="s">
        <v>216</v>
      </c>
      <c r="L186" s="40" t="s">
        <v>217</v>
      </c>
      <c r="M186" s="40" t="s">
        <v>220</v>
      </c>
      <c r="N186" s="40" t="s">
        <v>221</v>
      </c>
      <c r="O186" s="40" t="s">
        <v>208</v>
      </c>
      <c r="P186" s="41" t="s">
        <v>249</v>
      </c>
      <c r="Q186" s="2"/>
      <c r="R186" s="9" t="s">
        <v>213</v>
      </c>
    </row>
    <row r="187" spans="1:18" ht="52.5">
      <c r="A187" s="20" t="str">
        <f t="shared" ref="A187" si="102">IF(J187="","RESP","")</f>
        <v>RESP</v>
      </c>
      <c r="B187" s="20" t="str">
        <f t="shared" ref="B187" si="103">IF(M187="","INIT","")</f>
        <v>INIT</v>
      </c>
      <c r="C187" s="20" t="str">
        <f t="shared" ref="C187" si="104">IF(AND(J187="NO",O187=""),"CMTS","")</f>
        <v/>
      </c>
      <c r="D187" s="5"/>
      <c r="E187" s="28" t="s">
        <v>535</v>
      </c>
      <c r="F187" s="36" t="s">
        <v>161</v>
      </c>
      <c r="G187" s="30" t="s">
        <v>218</v>
      </c>
      <c r="H187" s="30" t="s">
        <v>218</v>
      </c>
      <c r="I187" s="30" t="s">
        <v>218</v>
      </c>
      <c r="J187" s="30"/>
      <c r="K187" s="30" t="s">
        <v>144</v>
      </c>
      <c r="L187" s="30"/>
      <c r="M187" s="30"/>
      <c r="N187" s="30"/>
      <c r="O187" s="31"/>
      <c r="P187" s="32"/>
      <c r="Q187" s="5"/>
      <c r="R187" s="10"/>
    </row>
  </sheetData>
  <phoneticPr fontId="9" type="noConversion"/>
  <conditionalFormatting sqref="A2:C29 A50:C52 A55:C57 A90:C92">
    <cfRule type="cellIs" dxfId="83" priority="121" operator="equal">
      <formula>"RESP"</formula>
    </cfRule>
    <cfRule type="cellIs" dxfId="82" priority="122" operator="equal">
      <formula>"INIT"</formula>
    </cfRule>
    <cfRule type="cellIs" dxfId="81" priority="123" operator="equal">
      <formula>"CMTS"</formula>
    </cfRule>
  </conditionalFormatting>
  <conditionalFormatting sqref="A3:C6 A15:C16">
    <cfRule type="cellIs" dxfId="80" priority="124" operator="equal">
      <formula>"OK"</formula>
    </cfRule>
  </conditionalFormatting>
  <conditionalFormatting sqref="A32:C34">
    <cfRule type="cellIs" dxfId="79" priority="88" operator="equal">
      <formula>"RESP"</formula>
    </cfRule>
    <cfRule type="cellIs" dxfId="78" priority="90" operator="equal">
      <formula>"CMTS"</formula>
    </cfRule>
    <cfRule type="cellIs" dxfId="77" priority="89" operator="equal">
      <formula>"INIT"</formula>
    </cfRule>
  </conditionalFormatting>
  <conditionalFormatting sqref="A37:C43">
    <cfRule type="cellIs" dxfId="76" priority="117" operator="equal">
      <formula>"CMTS"</formula>
    </cfRule>
    <cfRule type="cellIs" dxfId="75" priority="116" operator="equal">
      <formula>"INIT"</formula>
    </cfRule>
    <cfRule type="cellIs" dxfId="74" priority="115" operator="equal">
      <formula>"RESP"</formula>
    </cfRule>
  </conditionalFormatting>
  <conditionalFormatting sqref="A46:C47">
    <cfRule type="cellIs" dxfId="73" priority="87" operator="equal">
      <formula>"CMTS"</formula>
    </cfRule>
    <cfRule type="cellIs" dxfId="72" priority="86" operator="equal">
      <formula>"INIT"</formula>
    </cfRule>
    <cfRule type="cellIs" dxfId="71" priority="85" operator="equal">
      <formula>"RESP"</formula>
    </cfRule>
  </conditionalFormatting>
  <conditionalFormatting sqref="A59:C62">
    <cfRule type="cellIs" dxfId="70" priority="111" operator="equal">
      <formula>"CMTS"</formula>
    </cfRule>
    <cfRule type="cellIs" dxfId="69" priority="109" operator="equal">
      <formula>"RESP"</formula>
    </cfRule>
    <cfRule type="cellIs" dxfId="68" priority="110" operator="equal">
      <formula>"INIT"</formula>
    </cfRule>
  </conditionalFormatting>
  <conditionalFormatting sqref="A65:C67">
    <cfRule type="cellIs" dxfId="67" priority="108" operator="equal">
      <formula>"CMTS"</formula>
    </cfRule>
    <cfRule type="cellIs" dxfId="66" priority="107" operator="equal">
      <formula>"INIT"</formula>
    </cfRule>
    <cfRule type="cellIs" dxfId="65" priority="106" operator="equal">
      <formula>"RESP"</formula>
    </cfRule>
  </conditionalFormatting>
  <conditionalFormatting sqref="A70:C72">
    <cfRule type="cellIs" dxfId="64" priority="105" operator="equal">
      <formula>"CMTS"</formula>
    </cfRule>
    <cfRule type="cellIs" dxfId="63" priority="104" operator="equal">
      <formula>"INIT"</formula>
    </cfRule>
    <cfRule type="cellIs" dxfId="62" priority="103" operator="equal">
      <formula>"RESP"</formula>
    </cfRule>
  </conditionalFormatting>
  <conditionalFormatting sqref="A75:C76">
    <cfRule type="cellIs" dxfId="61" priority="101" operator="equal">
      <formula>"INIT"</formula>
    </cfRule>
    <cfRule type="cellIs" dxfId="60" priority="102" operator="equal">
      <formula>"CMTS"</formula>
    </cfRule>
    <cfRule type="cellIs" dxfId="59" priority="100" operator="equal">
      <formula>"RESP"</formula>
    </cfRule>
  </conditionalFormatting>
  <conditionalFormatting sqref="A79:C87">
    <cfRule type="cellIs" dxfId="58" priority="91" operator="equal">
      <formula>"RESP"</formula>
    </cfRule>
    <cfRule type="cellIs" dxfId="57" priority="93" operator="equal">
      <formula>"CMTS"</formula>
    </cfRule>
    <cfRule type="cellIs" dxfId="56" priority="92" operator="equal">
      <formula>"INIT"</formula>
    </cfRule>
  </conditionalFormatting>
  <conditionalFormatting sqref="A95:C98">
    <cfRule type="cellIs" dxfId="55" priority="17" operator="equal">
      <formula>"INIT"</formula>
    </cfRule>
    <cfRule type="cellIs" dxfId="54" priority="16" operator="equal">
      <formula>"RESP"</formula>
    </cfRule>
    <cfRule type="cellIs" dxfId="53" priority="18" operator="equal">
      <formula>"CMTS"</formula>
    </cfRule>
  </conditionalFormatting>
  <conditionalFormatting sqref="A101:C105">
    <cfRule type="cellIs" dxfId="52" priority="78" operator="equal">
      <formula>"CMTS"</formula>
    </cfRule>
    <cfRule type="cellIs" dxfId="51" priority="77" operator="equal">
      <formula>"INIT"</formula>
    </cfRule>
    <cfRule type="cellIs" dxfId="50" priority="76" operator="equal">
      <formula>"RESP"</formula>
    </cfRule>
  </conditionalFormatting>
  <conditionalFormatting sqref="A108:C111">
    <cfRule type="cellIs" dxfId="49" priority="74" operator="equal">
      <formula>"INIT"</formula>
    </cfRule>
    <cfRule type="cellIs" dxfId="48" priority="75" operator="equal">
      <formula>"CMTS"</formula>
    </cfRule>
    <cfRule type="cellIs" dxfId="47" priority="73" operator="equal">
      <formula>"RESP"</formula>
    </cfRule>
  </conditionalFormatting>
  <conditionalFormatting sqref="A114:C123">
    <cfRule type="cellIs" dxfId="46" priority="69" operator="equal">
      <formula>"CMTS"</formula>
    </cfRule>
    <cfRule type="cellIs" dxfId="45" priority="68" operator="equal">
      <formula>"INIT"</formula>
    </cfRule>
    <cfRule type="cellIs" dxfId="44" priority="67" operator="equal">
      <formula>"RESP"</formula>
    </cfRule>
  </conditionalFormatting>
  <conditionalFormatting sqref="A126:C136">
    <cfRule type="cellIs" dxfId="43" priority="9" operator="equal">
      <formula>"CMTS"</formula>
    </cfRule>
    <cfRule type="cellIs" dxfId="42" priority="8" operator="equal">
      <formula>"INIT"</formula>
    </cfRule>
    <cfRule type="cellIs" dxfId="41" priority="7" operator="equal">
      <formula>"RESP"</formula>
    </cfRule>
  </conditionalFormatting>
  <conditionalFormatting sqref="A139:C151">
    <cfRule type="cellIs" dxfId="40" priority="50" operator="equal">
      <formula>"INIT"</formula>
    </cfRule>
    <cfRule type="cellIs" dxfId="39" priority="49" operator="equal">
      <formula>"RESP"</formula>
    </cfRule>
    <cfRule type="cellIs" dxfId="38" priority="51" operator="equal">
      <formula>"CMTS"</formula>
    </cfRule>
  </conditionalFormatting>
  <conditionalFormatting sqref="A154:C156">
    <cfRule type="cellIs" dxfId="37" priority="48" operator="equal">
      <formula>"CMTS"</formula>
    </cfRule>
    <cfRule type="cellIs" dxfId="36" priority="47" operator="equal">
      <formula>"INIT"</formula>
    </cfRule>
    <cfRule type="cellIs" dxfId="35" priority="46" operator="equal">
      <formula>"RESP"</formula>
    </cfRule>
  </conditionalFormatting>
  <conditionalFormatting sqref="A159:C161">
    <cfRule type="cellIs" dxfId="34" priority="1" operator="equal">
      <formula>"RESP"</formula>
    </cfRule>
    <cfRule type="cellIs" dxfId="33" priority="3" operator="equal">
      <formula>"CMTS"</formula>
    </cfRule>
    <cfRule type="cellIs" dxfId="32" priority="2" operator="equal">
      <formula>"INIT"</formula>
    </cfRule>
  </conditionalFormatting>
  <conditionalFormatting sqref="A164:C166">
    <cfRule type="cellIs" dxfId="31" priority="45" operator="equal">
      <formula>"CMTS"</formula>
    </cfRule>
    <cfRule type="cellIs" dxfId="30" priority="44" operator="equal">
      <formula>"INIT"</formula>
    </cfRule>
    <cfRule type="cellIs" dxfId="29" priority="43" operator="equal">
      <formula>"RESP"</formula>
    </cfRule>
  </conditionalFormatting>
  <conditionalFormatting sqref="A169:C175">
    <cfRule type="cellIs" dxfId="28" priority="42" operator="equal">
      <formula>"CMTS"</formula>
    </cfRule>
    <cfRule type="cellIs" dxfId="27" priority="41" operator="equal">
      <formula>"INIT"</formula>
    </cfRule>
    <cfRule type="cellIs" dxfId="26" priority="40" operator="equal">
      <formula>"RESP"</formula>
    </cfRule>
  </conditionalFormatting>
  <conditionalFormatting sqref="A178:C183">
    <cfRule type="cellIs" dxfId="25" priority="27" operator="equal">
      <formula>"CMTS"</formula>
    </cfRule>
    <cfRule type="cellIs" dxfId="24" priority="26" operator="equal">
      <formula>"INIT"</formula>
    </cfRule>
    <cfRule type="cellIs" dxfId="23" priority="25" operator="equal">
      <formula>"RESP"</formula>
    </cfRule>
  </conditionalFormatting>
  <conditionalFormatting sqref="A186:C187">
    <cfRule type="cellIs" dxfId="22" priority="24" operator="equal">
      <formula>"CMTS"</formula>
    </cfRule>
    <cfRule type="cellIs" dxfId="21" priority="23" operator="equal">
      <formula>"INIT"</formula>
    </cfRule>
    <cfRule type="cellIs" dxfId="20" priority="22" operator="equal">
      <formula>"RESP"</formula>
    </cfRule>
  </conditionalFormatting>
  <dataValidations count="2">
    <dataValidation type="list" allowBlank="1" showInputMessage="1" showErrorMessage="1" error="Valid Entries : &quot;YES&quot; , &quot;NO&quot; , &quot;N/A&quot;" sqref="J38:J43 L38:L43 J60:J62 L160:L161 J66:J67 L66:L67 L71:L72 J71:J72 L76 J76 J80:J87 L80:L87 J18 L18 L8:L14 J8:J14 J33:J34 L33:L34 L22:L29 J22:J29 J47 L47 J51:J52 L51:L52 L56:L57 J56:J57 L91:L92 J91:J92 L187 J109:J111 L109:L111 J115:J123 L115:L123 J155:J156 L155:L156 J140:J151 L140:L151 J165:J166 L165:L166 J170:J175 L170:L175 J179:J183 L179:L183 J187 L102:L105 J102:J105 L96:L98 J96:J98 J127:J136 L127:L136 J160:J161 L60:L62" xr:uid="{A6BDF6A0-A32B-43CB-A620-B67789807734}">
      <formula1>" ,YES,NO,N/A"</formula1>
    </dataValidation>
    <dataValidation allowBlank="1" showInputMessage="1" showErrorMessage="1" error="Valid Entries : &quot;YES&quot; , &quot;NO&quot; , &quot;N/A&quot;" sqref="M38:N43 M160:N161 M66:N67 M71:N72 M76:N76 M80:N87 M18:N18 M8:N14 M33:N34 M22:N29 M47:N47 M51:N52 M56:N57 M91:N92 M187:N187 M109:N111 M115:N123 M155:N156 M140:N151 M165:N166 M170:N175 M179:N183 M102:N105 M96:N98 M127:N136 M60:N62" xr:uid="{A3E09B4E-E651-4654-A3C4-35C3827A1635}"/>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4CA9E-6EBE-4EC0-815E-144683568404}">
  <dimension ref="A2:K28"/>
  <sheetViews>
    <sheetView showGridLines="0" workbookViewId="0">
      <selection activeCell="H27" sqref="H27"/>
    </sheetView>
  </sheetViews>
  <sheetFormatPr defaultRowHeight="14.5"/>
  <cols>
    <col min="2" max="2" width="5.6328125" customWidth="1"/>
    <col min="3" max="3" width="5.26953125" customWidth="1"/>
    <col min="4" max="4" width="4.453125" customWidth="1"/>
    <col min="5" max="5" width="15.453125" customWidth="1"/>
    <col min="6" max="6" width="112.08984375" customWidth="1"/>
    <col min="8" max="8" width="58.54296875" customWidth="1"/>
    <col min="9" max="9" width="21.90625" customWidth="1"/>
    <col min="11" max="11" width="84.7265625" customWidth="1"/>
  </cols>
  <sheetData>
    <row r="2" spans="1:11">
      <c r="A2" s="11"/>
      <c r="B2" s="11"/>
      <c r="C2" s="11"/>
      <c r="D2" s="5"/>
      <c r="E2" s="6"/>
      <c r="F2" s="7"/>
      <c r="G2" s="7"/>
      <c r="H2" s="17"/>
      <c r="I2" s="5"/>
      <c r="J2" s="5"/>
      <c r="K2" s="8"/>
    </row>
    <row r="3" spans="1:11">
      <c r="A3" s="12" t="s">
        <v>209</v>
      </c>
      <c r="B3" s="13"/>
      <c r="C3" s="13"/>
      <c r="D3" s="5"/>
      <c r="E3" s="6"/>
      <c r="F3" s="3"/>
      <c r="G3" s="3"/>
      <c r="H3" s="17"/>
      <c r="I3" s="5"/>
      <c r="J3" s="5"/>
      <c r="K3" s="8"/>
    </row>
    <row r="4" spans="1:11">
      <c r="A4" s="14" t="e">
        <f>COUNTIFS($A$13:$A$14,"OK",$B$13:$B$14,"OK",$C$13:$C$14,"OK")/COUNT(#REF!)</f>
        <v>#DIV/0!</v>
      </c>
      <c r="B4" s="15"/>
      <c r="C4" s="16"/>
      <c r="D4" s="17"/>
      <c r="E4" s="17"/>
      <c r="F4" s="17"/>
      <c r="G4" s="17"/>
      <c r="H4" s="17"/>
      <c r="I4" s="18"/>
      <c r="J4" s="17"/>
      <c r="K4" s="19"/>
    </row>
    <row r="5" spans="1:11">
      <c r="A5" s="56"/>
      <c r="B5" s="57"/>
      <c r="C5" s="57"/>
      <c r="D5" s="17"/>
      <c r="E5" s="17"/>
      <c r="F5" s="17"/>
      <c r="G5" s="17"/>
      <c r="H5" s="17"/>
      <c r="I5" s="18"/>
      <c r="J5" s="17"/>
      <c r="K5" s="19"/>
    </row>
    <row r="6" spans="1:11">
      <c r="A6" s="56"/>
      <c r="B6" s="57"/>
      <c r="C6" s="57"/>
      <c r="D6" s="17"/>
      <c r="E6" s="17"/>
      <c r="F6" s="17"/>
      <c r="G6" s="17"/>
      <c r="H6" s="17"/>
      <c r="I6" s="18"/>
      <c r="J6" s="17"/>
      <c r="K6" s="19"/>
    </row>
    <row r="7" spans="1:11" ht="27.5">
      <c r="A7" s="12" t="s">
        <v>210</v>
      </c>
      <c r="B7" s="13"/>
      <c r="C7" s="13"/>
      <c r="D7" s="2"/>
      <c r="E7" s="24" t="s">
        <v>546</v>
      </c>
      <c r="F7" s="25"/>
      <c r="G7" s="26" t="s">
        <v>211</v>
      </c>
      <c r="H7" s="26" t="s">
        <v>208</v>
      </c>
      <c r="I7" s="27" t="s">
        <v>212</v>
      </c>
      <c r="J7" s="2"/>
      <c r="K7" s="9" t="s">
        <v>213</v>
      </c>
    </row>
    <row r="8" spans="1:11">
      <c r="A8" s="20" t="str">
        <f t="shared" ref="A8" si="0">IF(G8="","RESP","")</f>
        <v>RESP</v>
      </c>
      <c r="B8" s="20" t="str">
        <f>IF(H8="","INIT","")</f>
        <v>INIT</v>
      </c>
      <c r="C8" s="20" t="str">
        <f>IF(AND(G8="NO",H8=""),"CMTS","")</f>
        <v/>
      </c>
      <c r="D8" s="2"/>
      <c r="E8" s="28" t="s">
        <v>536</v>
      </c>
      <c r="F8" s="33" t="s">
        <v>547</v>
      </c>
      <c r="G8" s="30"/>
      <c r="H8" s="30"/>
      <c r="I8" s="32"/>
      <c r="J8" s="2"/>
      <c r="K8" s="10"/>
    </row>
    <row r="9" spans="1:11">
      <c r="A9" s="56"/>
      <c r="B9" s="57"/>
      <c r="C9" s="57"/>
      <c r="D9" s="17"/>
      <c r="E9" s="17"/>
      <c r="F9" s="17"/>
      <c r="G9" s="17"/>
      <c r="H9" s="17"/>
      <c r="I9" s="18"/>
      <c r="J9" s="17"/>
      <c r="K9" s="19"/>
    </row>
    <row r="10" spans="1:11">
      <c r="A10" s="56"/>
      <c r="B10" s="57"/>
      <c r="C10" s="57"/>
      <c r="D10" s="17"/>
      <c r="E10" s="17"/>
      <c r="F10" s="17"/>
      <c r="G10" s="17"/>
      <c r="H10" s="17"/>
      <c r="I10" s="18"/>
      <c r="J10" s="17"/>
      <c r="K10" s="19"/>
    </row>
    <row r="11" spans="1:11" ht="27.5">
      <c r="A11" s="12" t="s">
        <v>210</v>
      </c>
      <c r="B11" s="13"/>
      <c r="C11" s="13"/>
      <c r="D11" s="2"/>
      <c r="E11" s="24" t="s">
        <v>538</v>
      </c>
      <c r="F11" s="25"/>
      <c r="G11" s="26" t="s">
        <v>211</v>
      </c>
      <c r="H11" s="26" t="s">
        <v>208</v>
      </c>
      <c r="I11" s="27" t="s">
        <v>212</v>
      </c>
      <c r="J11" s="2"/>
      <c r="K11" s="9" t="s">
        <v>213</v>
      </c>
    </row>
    <row r="12" spans="1:11">
      <c r="A12" s="20" t="str">
        <f t="shared" ref="A12" si="1">IF(G12="","RESP","")</f>
        <v>RESP</v>
      </c>
      <c r="B12" s="20" t="str">
        <f>IF(H12="","INIT","")</f>
        <v>INIT</v>
      </c>
      <c r="C12" s="20" t="str">
        <f>IF(AND(G12="NO",H12=""),"CMTS","")</f>
        <v/>
      </c>
      <c r="D12" s="2"/>
      <c r="E12" s="28" t="s">
        <v>540</v>
      </c>
      <c r="F12" s="33" t="s">
        <v>537</v>
      </c>
      <c r="G12" s="30"/>
      <c r="H12" s="30"/>
      <c r="I12" s="32"/>
      <c r="J12" s="2"/>
      <c r="K12" s="10"/>
    </row>
    <row r="13" spans="1:11">
      <c r="A13" s="4"/>
      <c r="B13" s="4"/>
      <c r="C13" s="4"/>
      <c r="D13" s="5"/>
      <c r="E13" s="6"/>
      <c r="F13" s="21"/>
      <c r="G13" s="21"/>
      <c r="H13" s="21"/>
      <c r="I13" s="21"/>
      <c r="J13" s="5"/>
      <c r="K13" s="8"/>
    </row>
    <row r="14" spans="1:11">
      <c r="A14" s="4"/>
      <c r="B14" s="4"/>
      <c r="C14" s="4"/>
      <c r="D14" s="5"/>
      <c r="E14" s="6"/>
      <c r="F14" s="5"/>
      <c r="G14" s="7"/>
      <c r="H14" s="7"/>
      <c r="J14" s="5"/>
      <c r="K14" s="8"/>
    </row>
    <row r="15" spans="1:11" ht="27.5">
      <c r="A15" s="12" t="s">
        <v>210</v>
      </c>
      <c r="B15" s="13"/>
      <c r="C15" s="13"/>
      <c r="D15" s="2"/>
      <c r="E15" s="24" t="s">
        <v>539</v>
      </c>
      <c r="F15" s="25"/>
      <c r="G15" s="26" t="s">
        <v>211</v>
      </c>
      <c r="H15" s="26" t="s">
        <v>208</v>
      </c>
      <c r="I15" s="27" t="s">
        <v>212</v>
      </c>
      <c r="J15" s="2"/>
      <c r="K15" s="9" t="s">
        <v>213</v>
      </c>
    </row>
    <row r="16" spans="1:11">
      <c r="A16" s="20" t="str">
        <f t="shared" ref="A16" si="2">IF(G16="","RESP","")</f>
        <v>RESP</v>
      </c>
      <c r="B16" s="20" t="str">
        <f>IF(H16="","INIT","")</f>
        <v>INIT</v>
      </c>
      <c r="C16" s="20" t="str">
        <f>IF(AND(G16="NO",H16=""),"CMTS","")</f>
        <v/>
      </c>
      <c r="D16" s="2"/>
      <c r="E16" s="28" t="s">
        <v>541</v>
      </c>
      <c r="F16" s="33" t="s">
        <v>542</v>
      </c>
      <c r="G16" s="30"/>
      <c r="H16" s="30"/>
      <c r="I16" s="32"/>
      <c r="J16" s="2"/>
      <c r="K16" s="10"/>
    </row>
    <row r="19" spans="1:11" ht="27.5">
      <c r="A19" s="12" t="s">
        <v>210</v>
      </c>
      <c r="B19" s="13"/>
      <c r="C19" s="13"/>
      <c r="D19" s="2"/>
      <c r="E19" s="24" t="s">
        <v>544</v>
      </c>
      <c r="F19" s="25"/>
      <c r="G19" s="26" t="s">
        <v>211</v>
      </c>
      <c r="H19" s="26" t="s">
        <v>208</v>
      </c>
      <c r="I19" s="27" t="s">
        <v>212</v>
      </c>
      <c r="J19" s="2"/>
      <c r="K19" s="9" t="s">
        <v>213</v>
      </c>
    </row>
    <row r="20" spans="1:11">
      <c r="A20" s="20" t="str">
        <f t="shared" ref="A20" si="3">IF(G20="","RESP","")</f>
        <v>RESP</v>
      </c>
      <c r="B20" s="20" t="str">
        <f>IF(H20="","INIT","")</f>
        <v>INIT</v>
      </c>
      <c r="C20" s="20" t="str">
        <f>IF(AND(G20="NO",H20=""),"CMTS","")</f>
        <v/>
      </c>
      <c r="D20" s="2"/>
      <c r="E20" s="28" t="s">
        <v>543</v>
      </c>
      <c r="F20" s="33" t="s">
        <v>545</v>
      </c>
      <c r="G20" s="30"/>
      <c r="H20" s="30"/>
      <c r="I20" s="32"/>
      <c r="J20" s="2"/>
      <c r="K20" s="10"/>
    </row>
    <row r="23" spans="1:11" ht="27.5">
      <c r="A23" s="12" t="s">
        <v>210</v>
      </c>
      <c r="B23" s="13"/>
      <c r="C23" s="13"/>
      <c r="D23" s="2"/>
      <c r="E23" s="24" t="s">
        <v>552</v>
      </c>
      <c r="F23" s="25"/>
      <c r="G23" s="26" t="s">
        <v>211</v>
      </c>
      <c r="H23" s="26" t="s">
        <v>208</v>
      </c>
      <c r="I23" s="27" t="s">
        <v>212</v>
      </c>
      <c r="J23" s="2"/>
      <c r="K23" s="9" t="s">
        <v>213</v>
      </c>
    </row>
    <row r="24" spans="1:11">
      <c r="A24" s="20" t="str">
        <f t="shared" ref="A24" si="4">IF(G24="","RESP","")</f>
        <v>RESP</v>
      </c>
      <c r="B24" s="20" t="str">
        <f>IF(H24="","INIT","")</f>
        <v>INIT</v>
      </c>
      <c r="C24" s="20" t="str">
        <f>IF(AND(G24="NO",H24=""),"CMTS","")</f>
        <v/>
      </c>
      <c r="D24" s="2"/>
      <c r="E24" s="28" t="s">
        <v>548</v>
      </c>
      <c r="F24" s="33" t="s">
        <v>550</v>
      </c>
      <c r="G24" s="30"/>
      <c r="H24" s="30"/>
      <c r="I24" s="32"/>
      <c r="J24" s="2"/>
      <c r="K24" s="10"/>
    </row>
    <row r="27" spans="1:11" ht="27.5">
      <c r="A27" s="12" t="s">
        <v>210</v>
      </c>
      <c r="B27" s="13"/>
      <c r="C27" s="13"/>
      <c r="D27" s="2"/>
      <c r="E27" s="24" t="s">
        <v>553</v>
      </c>
      <c r="F27" s="25"/>
      <c r="G27" s="26" t="s">
        <v>211</v>
      </c>
      <c r="H27" s="26" t="s">
        <v>208</v>
      </c>
      <c r="I27" s="27" t="s">
        <v>212</v>
      </c>
      <c r="J27" s="2"/>
      <c r="K27" s="9" t="s">
        <v>213</v>
      </c>
    </row>
    <row r="28" spans="1:11">
      <c r="A28" s="20" t="str">
        <f t="shared" ref="A28" si="5">IF(G28="","RESP","")</f>
        <v>RESP</v>
      </c>
      <c r="B28" s="20" t="str">
        <f>IF(H28="","INIT","")</f>
        <v>INIT</v>
      </c>
      <c r="C28" s="20" t="str">
        <f>IF(AND(G28="NO",H28=""),"CMTS","")</f>
        <v/>
      </c>
      <c r="D28" s="2"/>
      <c r="E28" s="28" t="s">
        <v>549</v>
      </c>
      <c r="F28" s="33" t="s">
        <v>551</v>
      </c>
      <c r="G28" s="30"/>
      <c r="H28" s="30"/>
      <c r="I28" s="32"/>
      <c r="J28" s="2"/>
      <c r="K28" s="10"/>
    </row>
  </sheetData>
  <conditionalFormatting sqref="A2:C16">
    <cfRule type="cellIs" dxfId="19" priority="13" operator="equal">
      <formula>"RESP"</formula>
    </cfRule>
    <cfRule type="cellIs" dxfId="18" priority="14" operator="equal">
      <formula>"INIT"</formula>
    </cfRule>
    <cfRule type="cellIs" dxfId="17" priority="15" operator="equal">
      <formula>"CMTS"</formula>
    </cfRule>
  </conditionalFormatting>
  <conditionalFormatting sqref="A3:C6 A9:C10">
    <cfRule type="cellIs" dxfId="16" priority="82" operator="equal">
      <formula>"OK"</formula>
    </cfRule>
  </conditionalFormatting>
  <conditionalFormatting sqref="A19:C20">
    <cfRule type="cellIs" dxfId="15" priority="10" operator="equal">
      <formula>"RESP"</formula>
    </cfRule>
    <cfRule type="cellIs" dxfId="14" priority="11" operator="equal">
      <formula>"INIT"</formula>
    </cfRule>
    <cfRule type="cellIs" dxfId="13" priority="12" operator="equal">
      <formula>"CMTS"</formula>
    </cfRule>
  </conditionalFormatting>
  <conditionalFormatting sqref="A23:C24">
    <cfRule type="cellIs" dxfId="12" priority="4" operator="equal">
      <formula>"RESP"</formula>
    </cfRule>
    <cfRule type="cellIs" dxfId="11" priority="5" operator="equal">
      <formula>"INIT"</formula>
    </cfRule>
    <cfRule type="cellIs" dxfId="10" priority="6" operator="equal">
      <formula>"CMTS"</formula>
    </cfRule>
  </conditionalFormatting>
  <conditionalFormatting sqref="A27:C28">
    <cfRule type="cellIs" dxfId="9" priority="1" operator="equal">
      <formula>"RESP"</formula>
    </cfRule>
    <cfRule type="cellIs" dxfId="8" priority="2" operator="equal">
      <formula>"INIT"</formula>
    </cfRule>
    <cfRule type="cellIs" dxfId="7" priority="3" operator="equal">
      <formula>"CMTS"</formula>
    </cfRule>
  </conditionalFormatting>
  <dataValidations count="2">
    <dataValidation allowBlank="1" showInputMessage="1" showErrorMessage="1" error="Valid Entries : &quot;YES&quot; , &quot;NO&quot; , &quot;N/A&quot;" sqref="H12 H8 H16 H20 H24 H28" xr:uid="{C65986F5-E8CC-4148-ABD7-993581D78AF5}"/>
    <dataValidation type="list" allowBlank="1" showInputMessage="1" showErrorMessage="1" error="Valid Entries : &quot;YES&quot; , &quot;NO&quot; , &quot;N/A&quot;" sqref="G12 G8 G16 G20 G24 G28" xr:uid="{E78AC47D-0E02-48CC-92F5-9F87DD968E7D}">
      <formula1>" ,YES,NO,N/A"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FD64-F1FA-4D51-B5B3-78090340A0A9}">
  <dimension ref="B2:K73"/>
  <sheetViews>
    <sheetView showGridLines="0" topLeftCell="D16" workbookViewId="0">
      <selection activeCell="G30" sqref="G30"/>
    </sheetView>
  </sheetViews>
  <sheetFormatPr defaultRowHeight="14.5"/>
  <cols>
    <col min="2" max="2" width="24.1796875" customWidth="1"/>
    <col min="3" max="3" width="14.36328125" customWidth="1"/>
    <col min="4" max="4" width="13.7265625" customWidth="1"/>
    <col min="5" max="5" width="43.08984375" customWidth="1"/>
    <col min="6" max="6" width="25.36328125" customWidth="1"/>
    <col min="7" max="7" width="54.90625" customWidth="1"/>
    <col min="8" max="8" width="18.54296875" bestFit="1" customWidth="1"/>
    <col min="9" max="9" width="29.90625" customWidth="1"/>
    <col min="10" max="10" width="15.26953125" customWidth="1"/>
    <col min="11" max="11" width="65.6328125" customWidth="1"/>
    <col min="12" max="12" width="12.26953125" bestFit="1" customWidth="1"/>
    <col min="13" max="13" width="7.7265625" bestFit="1" customWidth="1"/>
    <col min="14" max="14" width="13.90625" customWidth="1"/>
    <col min="15" max="15" width="15.81640625" customWidth="1"/>
    <col min="16" max="16" width="10" customWidth="1"/>
    <col min="17" max="17" width="14.7265625" customWidth="1"/>
  </cols>
  <sheetData>
    <row r="2" spans="2:11" ht="15" thickBot="1"/>
    <row r="3" spans="2:11" ht="15" thickBot="1">
      <c r="B3" s="102" t="s">
        <v>1087</v>
      </c>
    </row>
    <row r="4" spans="2:11" ht="15" thickBot="1">
      <c r="B4" s="40" t="s">
        <v>995</v>
      </c>
      <c r="C4" s="40" t="s">
        <v>992</v>
      </c>
      <c r="D4" s="40" t="s">
        <v>1022</v>
      </c>
      <c r="E4" s="40" t="s">
        <v>1023</v>
      </c>
      <c r="F4" s="40" t="s">
        <v>993</v>
      </c>
      <c r="G4" s="40" t="s">
        <v>1024</v>
      </c>
      <c r="H4" s="40" t="s">
        <v>996</v>
      </c>
      <c r="I4" s="40" t="s">
        <v>994</v>
      </c>
      <c r="J4" s="40" t="s">
        <v>1002</v>
      </c>
      <c r="K4" s="40" t="s">
        <v>208</v>
      </c>
    </row>
    <row r="5" spans="2:11">
      <c r="B5" s="110" t="s">
        <v>999</v>
      </c>
      <c r="C5" s="107" t="s">
        <v>998</v>
      </c>
      <c r="D5" s="59" t="s">
        <v>997</v>
      </c>
      <c r="E5" s="59" t="s">
        <v>1004</v>
      </c>
      <c r="F5" s="69" t="s">
        <v>1005</v>
      </c>
      <c r="G5" s="59" t="s">
        <v>1001</v>
      </c>
      <c r="H5" s="59" t="s">
        <v>1000</v>
      </c>
      <c r="I5" s="107" t="s">
        <v>1003</v>
      </c>
      <c r="J5" s="59" t="s">
        <v>1006</v>
      </c>
      <c r="K5" s="70" t="s">
        <v>1032</v>
      </c>
    </row>
    <row r="6" spans="2:11">
      <c r="B6" s="111"/>
      <c r="C6" s="109"/>
      <c r="D6" s="60" t="s">
        <v>997</v>
      </c>
      <c r="E6" s="60" t="s">
        <v>1065</v>
      </c>
      <c r="F6" s="65" t="s">
        <v>1007</v>
      </c>
      <c r="G6" s="60" t="s">
        <v>1008</v>
      </c>
      <c r="H6" s="60" t="s">
        <v>1009</v>
      </c>
      <c r="I6" s="108"/>
      <c r="J6" s="60" t="s">
        <v>1006</v>
      </c>
      <c r="K6" s="71" t="s">
        <v>1033</v>
      </c>
    </row>
    <row r="7" spans="2:11">
      <c r="B7" s="111"/>
      <c r="C7" s="117" t="s">
        <v>1010</v>
      </c>
      <c r="D7" s="60" t="s">
        <v>997</v>
      </c>
      <c r="E7" s="60" t="s">
        <v>1011</v>
      </c>
      <c r="F7" s="65" t="s">
        <v>1013</v>
      </c>
      <c r="G7" s="60" t="s">
        <v>1015</v>
      </c>
      <c r="H7" s="60" t="s">
        <v>1016</v>
      </c>
      <c r="I7" s="108"/>
      <c r="J7" s="60" t="s">
        <v>1006</v>
      </c>
      <c r="K7" s="71" t="s">
        <v>1036</v>
      </c>
    </row>
    <row r="8" spans="2:11">
      <c r="B8" s="111"/>
      <c r="C8" s="109"/>
      <c r="D8" s="60" t="s">
        <v>997</v>
      </c>
      <c r="E8" s="60" t="s">
        <v>1012</v>
      </c>
      <c r="F8" s="65" t="s">
        <v>1013</v>
      </c>
      <c r="G8" s="60" t="s">
        <v>1014</v>
      </c>
      <c r="H8" s="60" t="s">
        <v>1016</v>
      </c>
      <c r="I8" s="109"/>
      <c r="J8" s="60" t="s">
        <v>1006</v>
      </c>
      <c r="K8" s="71" t="s">
        <v>1037</v>
      </c>
    </row>
    <row r="9" spans="2:11" ht="29.5" thickBot="1">
      <c r="B9" s="112"/>
      <c r="C9" s="72" t="s">
        <v>1017</v>
      </c>
      <c r="D9" s="73" t="s">
        <v>997</v>
      </c>
      <c r="E9" s="73" t="s">
        <v>1020</v>
      </c>
      <c r="F9" s="74" t="s">
        <v>1019</v>
      </c>
      <c r="G9" s="73" t="s">
        <v>1018</v>
      </c>
      <c r="H9" s="73" t="s">
        <v>1009</v>
      </c>
      <c r="I9" s="73" t="s">
        <v>1026</v>
      </c>
      <c r="J9" s="73" t="s">
        <v>1021</v>
      </c>
      <c r="K9" s="75" t="s">
        <v>1030</v>
      </c>
    </row>
    <row r="10" spans="2:11">
      <c r="B10" s="110" t="s">
        <v>1025</v>
      </c>
      <c r="C10" s="107" t="s">
        <v>998</v>
      </c>
      <c r="D10" s="59" t="s">
        <v>997</v>
      </c>
      <c r="E10" s="59" t="s">
        <v>1004</v>
      </c>
      <c r="F10" s="69" t="s">
        <v>1005</v>
      </c>
      <c r="G10" s="59" t="s">
        <v>1001</v>
      </c>
      <c r="H10" s="59" t="s">
        <v>1000</v>
      </c>
      <c r="I10" s="107" t="s">
        <v>1027</v>
      </c>
      <c r="J10" s="59" t="s">
        <v>1006</v>
      </c>
      <c r="K10" s="70" t="s">
        <v>1029</v>
      </c>
    </row>
    <row r="11" spans="2:11">
      <c r="B11" s="111"/>
      <c r="C11" s="109"/>
      <c r="D11" s="60" t="s">
        <v>997</v>
      </c>
      <c r="E11" s="60" t="s">
        <v>1065</v>
      </c>
      <c r="F11" s="65" t="s">
        <v>1007</v>
      </c>
      <c r="G11" s="60" t="s">
        <v>1008</v>
      </c>
      <c r="H11" s="60" t="s">
        <v>1009</v>
      </c>
      <c r="I11" s="108"/>
      <c r="J11" s="60" t="s">
        <v>1006</v>
      </c>
      <c r="K11" s="71" t="s">
        <v>1029</v>
      </c>
    </row>
    <row r="12" spans="2:11">
      <c r="B12" s="111"/>
      <c r="C12" s="117" t="s">
        <v>1010</v>
      </c>
      <c r="D12" s="60" t="s">
        <v>997</v>
      </c>
      <c r="E12" s="60" t="s">
        <v>1011</v>
      </c>
      <c r="F12" s="65" t="s">
        <v>1013</v>
      </c>
      <c r="G12" s="60" t="s">
        <v>1015</v>
      </c>
      <c r="H12" s="60" t="s">
        <v>1016</v>
      </c>
      <c r="I12" s="108"/>
      <c r="J12" s="60" t="s">
        <v>1006</v>
      </c>
      <c r="K12" s="71" t="s">
        <v>1029</v>
      </c>
    </row>
    <row r="13" spans="2:11">
      <c r="B13" s="111"/>
      <c r="C13" s="109"/>
      <c r="D13" s="60" t="s">
        <v>997</v>
      </c>
      <c r="E13" s="60" t="s">
        <v>1012</v>
      </c>
      <c r="F13" s="65" t="s">
        <v>1013</v>
      </c>
      <c r="G13" s="60" t="s">
        <v>1014</v>
      </c>
      <c r="H13" s="60" t="s">
        <v>1016</v>
      </c>
      <c r="I13" s="109"/>
      <c r="J13" s="60" t="s">
        <v>1006</v>
      </c>
      <c r="K13" s="71" t="s">
        <v>1029</v>
      </c>
    </row>
    <row r="14" spans="2:11" ht="29.5" thickBot="1">
      <c r="B14" s="112"/>
      <c r="C14" s="72" t="s">
        <v>1017</v>
      </c>
      <c r="D14" s="73" t="s">
        <v>997</v>
      </c>
      <c r="E14" s="73" t="s">
        <v>1020</v>
      </c>
      <c r="F14" s="74" t="s">
        <v>1019</v>
      </c>
      <c r="G14" s="73" t="s">
        <v>1018</v>
      </c>
      <c r="H14" s="73" t="s">
        <v>1009</v>
      </c>
      <c r="I14" s="73" t="s">
        <v>1028</v>
      </c>
      <c r="J14" s="73" t="s">
        <v>1021</v>
      </c>
      <c r="K14" s="75" t="s">
        <v>1031</v>
      </c>
    </row>
    <row r="15" spans="2:11">
      <c r="B15" s="110" t="s">
        <v>1034</v>
      </c>
      <c r="C15" s="68" t="s">
        <v>998</v>
      </c>
      <c r="D15" s="59" t="s">
        <v>997</v>
      </c>
      <c r="E15" s="59" t="s">
        <v>1004</v>
      </c>
      <c r="F15" s="76" t="s">
        <v>1042</v>
      </c>
      <c r="G15" s="59" t="s">
        <v>1001</v>
      </c>
      <c r="H15" s="59" t="s">
        <v>1040</v>
      </c>
      <c r="I15" s="107" t="s">
        <v>1035</v>
      </c>
      <c r="J15" s="59" t="s">
        <v>1006</v>
      </c>
      <c r="K15" s="70" t="s">
        <v>1038</v>
      </c>
    </row>
    <row r="16" spans="2:11">
      <c r="B16" s="111"/>
      <c r="C16" s="67" t="s">
        <v>1010</v>
      </c>
      <c r="D16" s="60" t="s">
        <v>997</v>
      </c>
      <c r="E16" s="60" t="s">
        <v>1011</v>
      </c>
      <c r="F16" s="65" t="s">
        <v>1013</v>
      </c>
      <c r="G16" s="60" t="s">
        <v>1015</v>
      </c>
      <c r="H16" s="60" t="s">
        <v>1040</v>
      </c>
      <c r="I16" s="108"/>
      <c r="J16" s="60" t="s">
        <v>1006</v>
      </c>
      <c r="K16" s="71" t="s">
        <v>1039</v>
      </c>
    </row>
    <row r="17" spans="2:11" ht="30.5" customHeight="1" thickBot="1">
      <c r="B17" s="112"/>
      <c r="C17" s="72" t="s">
        <v>1017</v>
      </c>
      <c r="D17" s="73" t="s">
        <v>997</v>
      </c>
      <c r="E17" s="73" t="s">
        <v>1020</v>
      </c>
      <c r="F17" s="74" t="s">
        <v>1019</v>
      </c>
      <c r="G17" s="73" t="s">
        <v>1018</v>
      </c>
      <c r="H17" s="73" t="s">
        <v>1040</v>
      </c>
      <c r="I17" s="116"/>
      <c r="J17" s="73" t="s">
        <v>1021</v>
      </c>
      <c r="K17" s="75" t="s">
        <v>1041</v>
      </c>
    </row>
    <row r="18" spans="2:11" ht="43.5" customHeight="1" thickBot="1">
      <c r="B18" s="110" t="s">
        <v>1043</v>
      </c>
      <c r="C18" s="68" t="s">
        <v>998</v>
      </c>
      <c r="D18" s="59" t="s">
        <v>997</v>
      </c>
      <c r="E18" s="59" t="s">
        <v>1004</v>
      </c>
      <c r="F18" s="69" t="s">
        <v>1005</v>
      </c>
      <c r="G18" s="59" t="s">
        <v>1001</v>
      </c>
      <c r="H18" s="59" t="s">
        <v>1000</v>
      </c>
      <c r="I18" s="113" t="s">
        <v>1044</v>
      </c>
      <c r="J18" s="59" t="s">
        <v>1006</v>
      </c>
      <c r="K18" s="70" t="s">
        <v>1040</v>
      </c>
    </row>
    <row r="19" spans="2:11" ht="15" thickBot="1">
      <c r="B19" s="111"/>
      <c r="C19" s="67" t="s">
        <v>1010</v>
      </c>
      <c r="D19" s="60" t="s">
        <v>997</v>
      </c>
      <c r="E19" s="60" t="s">
        <v>1011</v>
      </c>
      <c r="F19" s="65" t="s">
        <v>1013</v>
      </c>
      <c r="G19" s="60" t="s">
        <v>1015</v>
      </c>
      <c r="H19" s="60" t="s">
        <v>1016</v>
      </c>
      <c r="I19" s="114"/>
      <c r="J19" s="60" t="s">
        <v>1006</v>
      </c>
      <c r="K19" s="70" t="s">
        <v>1040</v>
      </c>
    </row>
    <row r="20" spans="2:11" ht="15" thickBot="1">
      <c r="B20" s="112"/>
      <c r="C20" s="72" t="s">
        <v>1017</v>
      </c>
      <c r="D20" s="73" t="s">
        <v>997</v>
      </c>
      <c r="E20" s="73" t="s">
        <v>1020</v>
      </c>
      <c r="F20" s="74" t="s">
        <v>1019</v>
      </c>
      <c r="G20" s="73" t="s">
        <v>1018</v>
      </c>
      <c r="H20" s="73" t="s">
        <v>1009</v>
      </c>
      <c r="I20" s="115"/>
      <c r="J20" s="73" t="s">
        <v>1021</v>
      </c>
      <c r="K20" s="70" t="s">
        <v>1040</v>
      </c>
    </row>
    <row r="21" spans="2:11" ht="15" thickBot="1">
      <c r="B21" s="110" t="s">
        <v>1045</v>
      </c>
      <c r="C21" s="68" t="s">
        <v>998</v>
      </c>
      <c r="D21" s="59" t="s">
        <v>997</v>
      </c>
      <c r="E21" s="59" t="s">
        <v>1004</v>
      </c>
      <c r="F21" s="69" t="s">
        <v>1005</v>
      </c>
      <c r="G21" s="59" t="s">
        <v>1001</v>
      </c>
      <c r="H21" s="59" t="s">
        <v>1000</v>
      </c>
      <c r="I21" s="113" t="s">
        <v>1046</v>
      </c>
      <c r="J21" s="59" t="s">
        <v>1006</v>
      </c>
      <c r="K21" s="70" t="s">
        <v>1040</v>
      </c>
    </row>
    <row r="22" spans="2:11" ht="15" thickBot="1">
      <c r="B22" s="111"/>
      <c r="C22" s="67" t="s">
        <v>1010</v>
      </c>
      <c r="D22" s="60" t="s">
        <v>997</v>
      </c>
      <c r="E22" s="60" t="s">
        <v>1011</v>
      </c>
      <c r="F22" s="65" t="s">
        <v>1013</v>
      </c>
      <c r="G22" s="60" t="s">
        <v>1015</v>
      </c>
      <c r="H22" s="60" t="s">
        <v>1016</v>
      </c>
      <c r="I22" s="108"/>
      <c r="J22" s="60" t="s">
        <v>1006</v>
      </c>
      <c r="K22" s="70" t="s">
        <v>1040</v>
      </c>
    </row>
    <row r="23" spans="2:11" ht="15" thickBot="1">
      <c r="B23" s="112"/>
      <c r="C23" s="72" t="s">
        <v>1017</v>
      </c>
      <c r="D23" s="73" t="s">
        <v>997</v>
      </c>
      <c r="E23" s="73" t="s">
        <v>1020</v>
      </c>
      <c r="F23" s="74" t="s">
        <v>1019</v>
      </c>
      <c r="G23" s="73" t="s">
        <v>1018</v>
      </c>
      <c r="H23" s="73" t="s">
        <v>1009</v>
      </c>
      <c r="I23" s="73" t="s">
        <v>1047</v>
      </c>
      <c r="J23" s="73" t="s">
        <v>1021</v>
      </c>
      <c r="K23" s="70" t="s">
        <v>1048</v>
      </c>
    </row>
    <row r="26" spans="2:11" ht="15" thickBot="1"/>
    <row r="27" spans="2:11" ht="15" thickBot="1">
      <c r="B27" s="102" t="s">
        <v>1051</v>
      </c>
    </row>
    <row r="28" spans="2:11" ht="15" thickBot="1">
      <c r="B28" s="79" t="s">
        <v>1049</v>
      </c>
      <c r="C28" s="82" t="s">
        <v>1052</v>
      </c>
      <c r="D28" s="85"/>
      <c r="E28" s="86"/>
      <c r="F28" s="87"/>
    </row>
    <row r="29" spans="2:11" ht="15" thickBot="1">
      <c r="B29" s="80"/>
      <c r="C29" s="81" t="s">
        <v>589</v>
      </c>
      <c r="D29" s="83" t="s">
        <v>590</v>
      </c>
      <c r="E29" s="83" t="s">
        <v>591</v>
      </c>
      <c r="F29" s="84" t="s">
        <v>592</v>
      </c>
    </row>
    <row r="30" spans="2:11">
      <c r="B30" s="78" t="s">
        <v>593</v>
      </c>
      <c r="C30" s="58"/>
      <c r="D30" s="58"/>
      <c r="E30" s="59"/>
      <c r="F30" s="59"/>
    </row>
    <row r="32" spans="2:11" ht="15" thickBot="1"/>
    <row r="33" spans="2:9" ht="15" thickBot="1">
      <c r="B33" s="79" t="s">
        <v>1049</v>
      </c>
      <c r="C33" s="82" t="s">
        <v>1053</v>
      </c>
      <c r="D33" s="85"/>
      <c r="E33" s="86"/>
      <c r="F33" s="87"/>
    </row>
    <row r="34" spans="2:9" ht="15" thickBot="1">
      <c r="B34" s="80"/>
      <c r="C34" s="81" t="s">
        <v>589</v>
      </c>
      <c r="D34" s="83" t="s">
        <v>590</v>
      </c>
      <c r="E34" s="83" t="s">
        <v>591</v>
      </c>
      <c r="F34" s="84" t="s">
        <v>592</v>
      </c>
    </row>
    <row r="35" spans="2:9">
      <c r="B35" s="78" t="s">
        <v>593</v>
      </c>
      <c r="C35" s="58"/>
      <c r="D35" s="58"/>
      <c r="E35" s="59"/>
      <c r="F35" s="59"/>
    </row>
    <row r="37" spans="2:9" ht="15" thickBot="1"/>
    <row r="38" spans="2:9" ht="15" thickBot="1">
      <c r="B38" s="102" t="s">
        <v>1054</v>
      </c>
    </row>
    <row r="39" spans="2:9" ht="15" thickBot="1">
      <c r="B39" s="79" t="s">
        <v>1055</v>
      </c>
      <c r="C39" s="82" t="s">
        <v>1052</v>
      </c>
      <c r="D39" s="85"/>
      <c r="E39" s="86"/>
      <c r="F39" s="86"/>
      <c r="G39" s="88"/>
      <c r="H39" s="88"/>
      <c r="I39" s="89"/>
    </row>
    <row r="40" spans="2:9" ht="15" thickBot="1">
      <c r="B40" s="80"/>
      <c r="C40" s="90" t="s">
        <v>594</v>
      </c>
      <c r="D40" s="91" t="s">
        <v>595</v>
      </c>
      <c r="E40" s="91" t="s">
        <v>596</v>
      </c>
      <c r="F40" s="92" t="s">
        <v>597</v>
      </c>
      <c r="G40" s="92" t="s">
        <v>1056</v>
      </c>
      <c r="H40" s="92" t="s">
        <v>598</v>
      </c>
      <c r="I40" s="92" t="s">
        <v>599</v>
      </c>
    </row>
    <row r="41" spans="2:9">
      <c r="B41" s="78" t="s">
        <v>593</v>
      </c>
      <c r="C41" s="66"/>
      <c r="D41" s="66"/>
      <c r="E41" s="60"/>
      <c r="F41" s="60"/>
      <c r="G41" s="60"/>
      <c r="H41" s="60"/>
      <c r="I41" s="60"/>
    </row>
    <row r="42" spans="2:9">
      <c r="B42" s="78" t="s">
        <v>600</v>
      </c>
      <c r="C42" s="66"/>
      <c r="D42" s="66"/>
      <c r="E42" s="60"/>
      <c r="F42" s="60"/>
      <c r="G42" s="60"/>
      <c r="H42" s="60"/>
      <c r="I42" s="60"/>
    </row>
    <row r="44" spans="2:9" ht="15" thickBot="1"/>
    <row r="45" spans="2:9" ht="15" thickBot="1">
      <c r="B45" s="79" t="s">
        <v>1055</v>
      </c>
      <c r="C45" s="82" t="s">
        <v>1053</v>
      </c>
      <c r="D45" s="85"/>
      <c r="E45" s="86"/>
      <c r="F45" s="86"/>
      <c r="G45" s="88"/>
      <c r="H45" s="88"/>
      <c r="I45" s="89"/>
    </row>
    <row r="46" spans="2:9" ht="15" thickBot="1">
      <c r="B46" s="80"/>
      <c r="C46" s="90" t="s">
        <v>594</v>
      </c>
      <c r="D46" s="91" t="s">
        <v>595</v>
      </c>
      <c r="E46" s="91" t="s">
        <v>596</v>
      </c>
      <c r="F46" s="92" t="s">
        <v>597</v>
      </c>
      <c r="G46" s="92" t="s">
        <v>1056</v>
      </c>
      <c r="H46" s="92" t="s">
        <v>598</v>
      </c>
      <c r="I46" s="92" t="s">
        <v>599</v>
      </c>
    </row>
    <row r="47" spans="2:9">
      <c r="B47" s="78" t="s">
        <v>593</v>
      </c>
      <c r="C47" s="66"/>
      <c r="D47" s="66"/>
      <c r="E47" s="60"/>
      <c r="F47" s="60"/>
      <c r="G47" s="60"/>
      <c r="H47" s="60"/>
      <c r="I47" s="60"/>
    </row>
    <row r="48" spans="2:9">
      <c r="B48" s="78" t="s">
        <v>600</v>
      </c>
      <c r="C48" s="66"/>
      <c r="D48" s="66"/>
      <c r="E48" s="60"/>
      <c r="F48" s="60"/>
      <c r="G48" s="60"/>
      <c r="H48" s="60"/>
      <c r="I48" s="60"/>
    </row>
    <row r="50" spans="2:7" ht="15" thickBot="1"/>
    <row r="51" spans="2:7" ht="15" thickBot="1">
      <c r="B51" s="102" t="s">
        <v>1057</v>
      </c>
    </row>
    <row r="52" spans="2:7" ht="15" thickBot="1">
      <c r="B52" s="79" t="s">
        <v>1055</v>
      </c>
      <c r="C52" s="82" t="s">
        <v>1052</v>
      </c>
      <c r="D52" s="85"/>
      <c r="E52" s="86"/>
      <c r="F52" s="86"/>
      <c r="G52" s="89"/>
    </row>
    <row r="53" spans="2:7" ht="15" thickBot="1">
      <c r="B53" s="80"/>
      <c r="C53" s="90" t="s">
        <v>594</v>
      </c>
      <c r="D53" s="91" t="s">
        <v>595</v>
      </c>
      <c r="E53" s="91" t="s">
        <v>596</v>
      </c>
      <c r="F53" s="92" t="s">
        <v>597</v>
      </c>
      <c r="G53" s="92" t="s">
        <v>1058</v>
      </c>
    </row>
    <row r="54" spans="2:7">
      <c r="B54" s="78" t="s">
        <v>593</v>
      </c>
      <c r="C54" s="66"/>
      <c r="D54" s="66"/>
      <c r="E54" s="60"/>
      <c r="F54" s="60"/>
      <c r="G54" s="60"/>
    </row>
    <row r="55" spans="2:7">
      <c r="B55" s="78" t="s">
        <v>600</v>
      </c>
      <c r="C55" s="66"/>
      <c r="D55" s="66"/>
      <c r="E55" s="60"/>
      <c r="F55" s="60"/>
      <c r="G55" s="60"/>
    </row>
    <row r="57" spans="2:7" ht="15" thickBot="1"/>
    <row r="58" spans="2:7" ht="15" thickBot="1">
      <c r="B58" s="79" t="s">
        <v>1055</v>
      </c>
      <c r="C58" s="82" t="s">
        <v>1053</v>
      </c>
      <c r="D58" s="85"/>
      <c r="E58" s="86"/>
      <c r="F58" s="86"/>
      <c r="G58" s="89"/>
    </row>
    <row r="59" spans="2:7" ht="15" thickBot="1">
      <c r="B59" s="80"/>
      <c r="C59" s="90" t="s">
        <v>594</v>
      </c>
      <c r="D59" s="91" t="s">
        <v>595</v>
      </c>
      <c r="E59" s="91" t="s">
        <v>596</v>
      </c>
      <c r="F59" s="92" t="s">
        <v>597</v>
      </c>
      <c r="G59" s="92" t="s">
        <v>1058</v>
      </c>
    </row>
    <row r="60" spans="2:7">
      <c r="B60" s="78" t="s">
        <v>593</v>
      </c>
      <c r="C60" s="66"/>
      <c r="D60" s="66"/>
      <c r="E60" s="60"/>
      <c r="F60" s="60"/>
      <c r="G60" s="60"/>
    </row>
    <row r="61" spans="2:7">
      <c r="B61" s="78" t="s">
        <v>600</v>
      </c>
      <c r="C61" s="66"/>
      <c r="D61" s="66"/>
      <c r="E61" s="60"/>
      <c r="F61" s="60"/>
      <c r="G61" s="60"/>
    </row>
    <row r="63" spans="2:7" ht="15" thickBot="1"/>
    <row r="64" spans="2:7" ht="15" thickBot="1">
      <c r="B64" s="102" t="s">
        <v>1059</v>
      </c>
    </row>
    <row r="65" spans="2:6" ht="15" thickBot="1">
      <c r="B65" s="79" t="s">
        <v>1062</v>
      </c>
      <c r="C65" s="93" t="s">
        <v>1050</v>
      </c>
      <c r="D65" s="85"/>
      <c r="E65" s="86"/>
      <c r="F65" s="87"/>
    </row>
    <row r="66" spans="2:6">
      <c r="B66" s="95"/>
      <c r="C66" s="77" t="s">
        <v>601</v>
      </c>
      <c r="D66" s="91" t="s">
        <v>602</v>
      </c>
      <c r="E66" s="91" t="s">
        <v>603</v>
      </c>
      <c r="F66" s="92" t="s">
        <v>604</v>
      </c>
    </row>
    <row r="67" spans="2:6" ht="15" thickBot="1">
      <c r="B67" s="80"/>
      <c r="C67" s="94"/>
      <c r="D67" s="66"/>
      <c r="E67" s="60"/>
      <c r="F67" s="60"/>
    </row>
    <row r="69" spans="2:6" ht="15" thickBot="1"/>
    <row r="70" spans="2:6" ht="15" thickBot="1">
      <c r="B70" s="102" t="s">
        <v>1060</v>
      </c>
    </row>
    <row r="71" spans="2:6" ht="15" thickBot="1">
      <c r="B71" s="96" t="s">
        <v>1055</v>
      </c>
      <c r="C71" s="82" t="s">
        <v>1050</v>
      </c>
      <c r="D71" s="85"/>
      <c r="E71" s="87"/>
    </row>
    <row r="72" spans="2:6" ht="15" thickBot="1">
      <c r="B72" s="97"/>
      <c r="C72" s="90" t="s">
        <v>605</v>
      </c>
      <c r="D72" s="91" t="s">
        <v>606</v>
      </c>
      <c r="E72" s="92" t="s">
        <v>1061</v>
      </c>
    </row>
    <row r="73" spans="2:6" ht="15" thickBot="1">
      <c r="B73" s="98" t="s">
        <v>593</v>
      </c>
      <c r="C73" s="99"/>
      <c r="D73" s="100"/>
      <c r="E73" s="101"/>
    </row>
  </sheetData>
  <mergeCells count="14">
    <mergeCell ref="I5:I8"/>
    <mergeCell ref="I10:I13"/>
    <mergeCell ref="B21:B23"/>
    <mergeCell ref="I21:I22"/>
    <mergeCell ref="B15:B17"/>
    <mergeCell ref="B18:B20"/>
    <mergeCell ref="I18:I20"/>
    <mergeCell ref="I15:I17"/>
    <mergeCell ref="C5:C6"/>
    <mergeCell ref="C7:C8"/>
    <mergeCell ref="B5:B9"/>
    <mergeCell ref="B10:B14"/>
    <mergeCell ref="C10:C11"/>
    <mergeCell ref="C12:C13"/>
  </mergeCells>
  <hyperlinks>
    <hyperlink ref="F5" r:id="rId1" xr:uid="{F7802155-7168-43F2-9C23-0988C3A0D6A7}"/>
    <hyperlink ref="F7" r:id="rId2" xr:uid="{46BB524E-3597-4578-B819-F7F07390F168}"/>
    <hyperlink ref="F8" r:id="rId3" xr:uid="{BC0D4137-CFFE-416B-9B8A-41D03928277B}"/>
    <hyperlink ref="F9" r:id="rId4" xr:uid="{B7ED6B11-87D5-45ED-9A54-26618D38CB49}"/>
    <hyperlink ref="F10" r:id="rId5" xr:uid="{8C8797CD-DE27-4131-9F27-C65B73BC34F6}"/>
    <hyperlink ref="F12" r:id="rId6" xr:uid="{3409EE6B-2702-4A10-94F7-FA0C341C210A}"/>
    <hyperlink ref="F13" r:id="rId7" xr:uid="{B2B6CF68-CA2F-48FF-B1E8-F05DD9C84FF8}"/>
    <hyperlink ref="F14" r:id="rId8" xr:uid="{02743D36-90C2-4021-B307-6E03C89B2659}"/>
    <hyperlink ref="F11" r:id="rId9" xr:uid="{6588E376-6F39-441A-9ED7-31A58241345B}"/>
    <hyperlink ref="F6" r:id="rId10" xr:uid="{4090077C-DB3C-465B-BA2A-90847A46390A}"/>
    <hyperlink ref="F16" r:id="rId11" xr:uid="{947EBDB7-A734-49D2-9520-320E13BCDBAA}"/>
    <hyperlink ref="F17" r:id="rId12" xr:uid="{DC665529-ED47-41DF-87BB-8693D17845FA}"/>
    <hyperlink ref="F15" r:id="rId13" xr:uid="{5A50DC7E-6ADB-4CEB-A5E3-DEF00A4698BB}"/>
    <hyperlink ref="F19" r:id="rId14" xr:uid="{E05D4007-F755-4DB1-BFC7-A95327655D14}"/>
    <hyperlink ref="F20" r:id="rId15" xr:uid="{64695D0C-6D97-4E04-B5E5-C1999B730219}"/>
    <hyperlink ref="F18" r:id="rId16" xr:uid="{5FC06228-3C76-4BCB-BCE1-4225E6058F6C}"/>
    <hyperlink ref="F21" r:id="rId17" xr:uid="{D28222A8-A307-4993-B652-4D8B4A37324F}"/>
    <hyperlink ref="F22" r:id="rId18" xr:uid="{87D5A5A9-3BFC-4733-8F3B-90EFDCE6F3BE}"/>
    <hyperlink ref="F23" r:id="rId19" xr:uid="{89D273C4-BEEF-405C-847A-FD4B01984E8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392D-1BDF-4AFD-B226-51A7B77B8B9C}">
  <dimension ref="A2:K23"/>
  <sheetViews>
    <sheetView showGridLines="0" workbookViewId="0">
      <selection activeCell="F32" sqref="F32"/>
    </sheetView>
  </sheetViews>
  <sheetFormatPr defaultRowHeight="14.5"/>
  <cols>
    <col min="2" max="2" width="5.6328125" customWidth="1"/>
    <col min="3" max="3" width="5.26953125" customWidth="1"/>
    <col min="4" max="4" width="4.453125" customWidth="1"/>
    <col min="5" max="5" width="15.453125" customWidth="1"/>
    <col min="6" max="6" width="112.08984375" customWidth="1"/>
    <col min="8" max="8" width="58.54296875" customWidth="1"/>
    <col min="9" max="9" width="21.90625" customWidth="1"/>
    <col min="11" max="11" width="84.7265625" customWidth="1"/>
  </cols>
  <sheetData>
    <row r="2" spans="1:11">
      <c r="A2" s="11"/>
      <c r="B2" s="11"/>
      <c r="C2" s="11"/>
      <c r="D2" s="5"/>
      <c r="E2" s="6"/>
      <c r="F2" s="7"/>
      <c r="G2" s="7"/>
      <c r="H2" s="17"/>
      <c r="I2" s="5"/>
      <c r="J2" s="5"/>
      <c r="K2" s="8"/>
    </row>
    <row r="3" spans="1:11">
      <c r="A3" s="56"/>
      <c r="B3" s="57"/>
      <c r="C3" s="57"/>
      <c r="D3" s="17"/>
      <c r="E3" s="17"/>
      <c r="F3" s="17"/>
      <c r="G3" s="17"/>
      <c r="H3" s="17"/>
      <c r="I3" s="18"/>
      <c r="J3" s="17"/>
      <c r="K3" s="19"/>
    </row>
    <row r="4" spans="1:11">
      <c r="A4" s="56"/>
      <c r="B4" s="57"/>
      <c r="C4" s="57"/>
      <c r="D4" s="17"/>
      <c r="E4" s="17"/>
      <c r="F4" s="17"/>
      <c r="G4" s="17"/>
      <c r="H4" s="17"/>
      <c r="I4" s="18"/>
      <c r="J4" s="17"/>
      <c r="K4" s="19"/>
    </row>
    <row r="5" spans="1:11" ht="27.5">
      <c r="A5" s="12" t="s">
        <v>210</v>
      </c>
      <c r="B5" s="13"/>
      <c r="C5" s="13"/>
      <c r="D5" s="2"/>
      <c r="E5" s="24" t="s">
        <v>554</v>
      </c>
      <c r="F5" s="25"/>
      <c r="G5" s="26" t="s">
        <v>211</v>
      </c>
      <c r="H5" s="26" t="s">
        <v>208</v>
      </c>
      <c r="I5" s="27" t="s">
        <v>212</v>
      </c>
      <c r="J5" s="2"/>
      <c r="K5" s="9" t="s">
        <v>213</v>
      </c>
    </row>
    <row r="6" spans="1:11">
      <c r="A6" s="20" t="str">
        <f t="shared" ref="A6" si="0">IF(G6="","RESP","")</f>
        <v>RESP</v>
      </c>
      <c r="B6" s="20" t="str">
        <f t="shared" ref="B6:B14" si="1">IF(H6="","INIT","")</f>
        <v>INIT</v>
      </c>
      <c r="C6" s="20" t="str">
        <f t="shared" ref="C6:C14" si="2">IF(AND(G6="NO",H6=""),"CMTS","")</f>
        <v/>
      </c>
      <c r="D6" s="2"/>
      <c r="E6" s="28" t="s">
        <v>555</v>
      </c>
      <c r="F6" s="33" t="s">
        <v>556</v>
      </c>
      <c r="G6" s="30"/>
      <c r="H6" s="30"/>
      <c r="I6" s="32"/>
      <c r="J6" s="2"/>
      <c r="K6" s="10"/>
    </row>
    <row r="7" spans="1:11">
      <c r="A7" s="20" t="str">
        <f t="shared" ref="A7" si="3">IF(G7="","RESP","")</f>
        <v>RESP</v>
      </c>
      <c r="B7" s="20" t="str">
        <f t="shared" si="1"/>
        <v>INIT</v>
      </c>
      <c r="C7" s="20" t="str">
        <f t="shared" si="2"/>
        <v/>
      </c>
      <c r="D7" s="2"/>
      <c r="E7" s="28" t="s">
        <v>565</v>
      </c>
      <c r="F7" s="33" t="s">
        <v>557</v>
      </c>
      <c r="G7" s="30"/>
      <c r="H7" s="30"/>
      <c r="I7" s="32"/>
      <c r="J7" s="2"/>
      <c r="K7" s="10"/>
    </row>
    <row r="8" spans="1:11">
      <c r="A8" s="20" t="str">
        <f t="shared" ref="A8:A14" si="4">IF(G8="","RESP","")</f>
        <v>RESP</v>
      </c>
      <c r="B8" s="20" t="str">
        <f t="shared" si="1"/>
        <v>INIT</v>
      </c>
      <c r="C8" s="20" t="str">
        <f t="shared" si="2"/>
        <v/>
      </c>
      <c r="D8" s="2"/>
      <c r="E8" s="28" t="s">
        <v>566</v>
      </c>
      <c r="F8" s="33" t="s">
        <v>558</v>
      </c>
      <c r="G8" s="30"/>
      <c r="H8" s="30"/>
      <c r="I8" s="32"/>
      <c r="J8" s="2"/>
      <c r="K8" s="10"/>
    </row>
    <row r="9" spans="1:11">
      <c r="A9" s="20" t="str">
        <f t="shared" si="4"/>
        <v>RESP</v>
      </c>
      <c r="B9" s="20" t="str">
        <f t="shared" si="1"/>
        <v>INIT</v>
      </c>
      <c r="C9" s="20" t="str">
        <f t="shared" si="2"/>
        <v/>
      </c>
      <c r="D9" s="2"/>
      <c r="E9" s="28" t="s">
        <v>567</v>
      </c>
      <c r="F9" s="33" t="s">
        <v>559</v>
      </c>
      <c r="G9" s="30"/>
      <c r="H9" s="30"/>
      <c r="I9" s="32"/>
      <c r="J9" s="2"/>
      <c r="K9" s="10"/>
    </row>
    <row r="10" spans="1:11">
      <c r="A10" s="20" t="str">
        <f t="shared" si="4"/>
        <v>RESP</v>
      </c>
      <c r="B10" s="20" t="str">
        <f t="shared" si="1"/>
        <v>INIT</v>
      </c>
      <c r="C10" s="20" t="str">
        <f t="shared" si="2"/>
        <v/>
      </c>
      <c r="D10" s="2"/>
      <c r="E10" s="28" t="s">
        <v>568</v>
      </c>
      <c r="F10" s="33" t="s">
        <v>560</v>
      </c>
      <c r="G10" s="30"/>
      <c r="H10" s="30"/>
      <c r="I10" s="32"/>
      <c r="J10" s="2"/>
      <c r="K10" s="10"/>
    </row>
    <row r="11" spans="1:11">
      <c r="A11" s="20" t="str">
        <f t="shared" si="4"/>
        <v>RESP</v>
      </c>
      <c r="B11" s="20" t="str">
        <f t="shared" si="1"/>
        <v>INIT</v>
      </c>
      <c r="C11" s="20" t="str">
        <f t="shared" si="2"/>
        <v/>
      </c>
      <c r="D11" s="2"/>
      <c r="E11" s="28" t="s">
        <v>569</v>
      </c>
      <c r="F11" s="33" t="s">
        <v>561</v>
      </c>
      <c r="G11" s="30"/>
      <c r="H11" s="30"/>
      <c r="I11" s="32"/>
      <c r="J11" s="2"/>
      <c r="K11" s="10"/>
    </row>
    <row r="12" spans="1:11">
      <c r="A12" s="20" t="str">
        <f t="shared" si="4"/>
        <v>RESP</v>
      </c>
      <c r="B12" s="20" t="str">
        <f t="shared" si="1"/>
        <v>INIT</v>
      </c>
      <c r="C12" s="20" t="str">
        <f t="shared" si="2"/>
        <v/>
      </c>
      <c r="D12" s="2"/>
      <c r="E12" s="28" t="s">
        <v>570</v>
      </c>
      <c r="F12" s="33" t="s">
        <v>562</v>
      </c>
      <c r="G12" s="30"/>
      <c r="H12" s="30"/>
      <c r="I12" s="32"/>
      <c r="J12" s="2"/>
      <c r="K12" s="10"/>
    </row>
    <row r="13" spans="1:11">
      <c r="A13" s="20" t="str">
        <f t="shared" si="4"/>
        <v>RESP</v>
      </c>
      <c r="B13" s="20" t="str">
        <f t="shared" si="1"/>
        <v>INIT</v>
      </c>
      <c r="C13" s="20" t="str">
        <f t="shared" si="2"/>
        <v/>
      </c>
      <c r="D13" s="2"/>
      <c r="E13" s="28" t="s">
        <v>571</v>
      </c>
      <c r="F13" s="33" t="s">
        <v>563</v>
      </c>
      <c r="G13" s="30"/>
      <c r="H13" s="30"/>
      <c r="I13" s="32"/>
      <c r="J13" s="2"/>
      <c r="K13" s="10"/>
    </row>
    <row r="14" spans="1:11">
      <c r="A14" s="20" t="str">
        <f t="shared" si="4"/>
        <v>RESP</v>
      </c>
      <c r="B14" s="20" t="str">
        <f t="shared" si="1"/>
        <v>INIT</v>
      </c>
      <c r="C14" s="20" t="str">
        <f t="shared" si="2"/>
        <v/>
      </c>
      <c r="D14" s="2"/>
      <c r="E14" s="28" t="s">
        <v>572</v>
      </c>
      <c r="F14" s="33" t="s">
        <v>564</v>
      </c>
      <c r="G14" s="30"/>
      <c r="H14" s="30"/>
      <c r="I14" s="32"/>
      <c r="J14" s="2"/>
      <c r="K14" s="10"/>
    </row>
    <row r="17" spans="1:11" ht="27.5">
      <c r="A17" s="12" t="s">
        <v>210</v>
      </c>
      <c r="B17" s="13"/>
      <c r="C17" s="13"/>
      <c r="D17" s="2"/>
      <c r="E17" s="24" t="s">
        <v>573</v>
      </c>
      <c r="F17" s="25"/>
      <c r="G17" s="26" t="s">
        <v>211</v>
      </c>
      <c r="H17" s="26" t="s">
        <v>208</v>
      </c>
      <c r="I17" s="27" t="s">
        <v>212</v>
      </c>
      <c r="J17" s="2"/>
      <c r="K17" s="9" t="s">
        <v>213</v>
      </c>
    </row>
    <row r="18" spans="1:11">
      <c r="A18" s="20" t="str">
        <f t="shared" ref="A18" si="5">IF(G18="","RESP","")</f>
        <v>RESP</v>
      </c>
      <c r="B18" s="20" t="str">
        <f>IF(H18="","INIT","")</f>
        <v>INIT</v>
      </c>
      <c r="C18" s="20" t="str">
        <f>IF(AND(G18="NO",H18=""),"CMTS","")</f>
        <v/>
      </c>
      <c r="D18" s="2"/>
      <c r="E18" s="28" t="s">
        <v>574</v>
      </c>
      <c r="F18" s="33" t="s">
        <v>575</v>
      </c>
      <c r="G18" s="30"/>
      <c r="H18" s="30"/>
      <c r="I18" s="32"/>
      <c r="J18" s="2"/>
      <c r="K18" s="10"/>
    </row>
    <row r="21" spans="1:11">
      <c r="E21" t="s">
        <v>576</v>
      </c>
    </row>
    <row r="22" spans="1:11">
      <c r="E22" t="s">
        <v>578</v>
      </c>
    </row>
    <row r="23" spans="1:11">
      <c r="E23" t="s">
        <v>577</v>
      </c>
    </row>
  </sheetData>
  <phoneticPr fontId="9" type="noConversion"/>
  <conditionalFormatting sqref="A2:C14">
    <cfRule type="cellIs" dxfId="6" priority="19" operator="equal">
      <formula>"RESP"</formula>
    </cfRule>
    <cfRule type="cellIs" dxfId="5" priority="20" operator="equal">
      <formula>"INIT"</formula>
    </cfRule>
    <cfRule type="cellIs" dxfId="4" priority="21" operator="equal">
      <formula>"CMTS"</formula>
    </cfRule>
  </conditionalFormatting>
  <conditionalFormatting sqref="A3:C4">
    <cfRule type="cellIs" dxfId="3" priority="52" operator="equal">
      <formula>"OK"</formula>
    </cfRule>
  </conditionalFormatting>
  <conditionalFormatting sqref="A17:C18">
    <cfRule type="cellIs" dxfId="2" priority="16" operator="equal">
      <formula>"RESP"</formula>
    </cfRule>
    <cfRule type="cellIs" dxfId="1" priority="17" operator="equal">
      <formula>"INIT"</formula>
    </cfRule>
    <cfRule type="cellIs" dxfId="0" priority="18" operator="equal">
      <formula>"CMTS"</formula>
    </cfRule>
  </conditionalFormatting>
  <dataValidations count="2">
    <dataValidation type="list" allowBlank="1" showInputMessage="1" showErrorMessage="1" error="Valid Entries : &quot;YES&quot; , &quot;NO&quot; , &quot;N/A&quot;" sqref="G6:G14 G18" xr:uid="{AC700BD5-72D2-4C5A-9CA9-97B0F2AAAFF8}">
      <formula1>" ,YES,NO,N/A"</formula1>
    </dataValidation>
    <dataValidation allowBlank="1" showInputMessage="1" showErrorMessage="1" error="Valid Entries : &quot;YES&quot; , &quot;NO&quot; , &quot;N/A&quot;" sqref="H6:H14 H18" xr:uid="{1DA63290-48D3-4EC9-BC7C-0B076F5DD12E}"/>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CA5A37964E3E4C929A819ABAADC55B" ma:contentTypeVersion="6" ma:contentTypeDescription="Create a new document." ma:contentTypeScope="" ma:versionID="5fa9dcebcca028319eaf0169b3cebbbd">
  <xsd:schema xmlns:xsd="http://www.w3.org/2001/XMLSchema" xmlns:xs="http://www.w3.org/2001/XMLSchema" xmlns:p="http://schemas.microsoft.com/office/2006/metadata/properties" xmlns:ns2="feb413ba-6713-40ab-974c-f8ffd899d92f" xmlns:ns3="1d1e9386-ef9b-45e5-aefa-07636025d8b5" targetNamespace="http://schemas.microsoft.com/office/2006/metadata/properties" ma:root="true" ma:fieldsID="f4973c8688ad0482e5244294b158f9e1" ns2:_="" ns3:_="">
    <xsd:import namespace="feb413ba-6713-40ab-974c-f8ffd899d92f"/>
    <xsd:import namespace="1d1e9386-ef9b-45e5-aefa-07636025d8b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b413ba-6713-40ab-974c-f8ffd899d9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1e9386-ef9b-45e5-aefa-07636025d8b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413F02BC-9F95-4A9D-AC12-5697B7D39E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b413ba-6713-40ab-974c-f8ffd899d92f"/>
    <ds:schemaRef ds:uri="1d1e9386-ef9b-45e5-aefa-07636025d8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02F094-6579-4DC0-A2F4-1E7F39A2A68A}">
  <ds:schemaRefs>
    <ds:schemaRef ds:uri="http://schemas.microsoft.com/sharepoint/v3/contenttype/forms"/>
  </ds:schemaRefs>
</ds:datastoreItem>
</file>

<file path=customXml/itemProps3.xml><?xml version="1.0" encoding="utf-8"?>
<ds:datastoreItem xmlns:ds="http://schemas.openxmlformats.org/officeDocument/2006/customXml" ds:itemID="{1E2B7977-354B-440C-891D-6C1105958796}">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BE_check</vt:lpstr>
      <vt:lpstr>Release_Check</vt:lpstr>
      <vt:lpstr>Waiver</vt:lpstr>
      <vt:lpstr>EMIR_results</vt:lpstr>
      <vt:lpstr>Metrics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2025-10-14T01:45:04Z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0x01010022CA5A37964E3E4C929A819ABAADC55B</vt:lpwstr>
  </property>
</Properties>
</file>