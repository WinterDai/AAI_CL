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filterPrivacy="1" defaultThemeVersion="124226"/>
  <xr:revisionPtr revIDLastSave="4832" documentId="8_{4E14EBDC-46EC-4273-B102-1B1C29A4E7E8}" xr6:coauthVersionLast="47" xr6:coauthVersionMax="47" xr10:uidLastSave="{7B5A2DB9-319D-4BB1-AF94-899C7C009AE8}"/>
  <bookViews>
    <workbookView xWindow="22932" yWindow="-4284" windowWidth="30936" windowHeight="16776" tabRatio="806" firstSheet="2" activeTab="2" xr2:uid="{00000000-000D-0000-FFFF-FFFF00000000}"/>
  </bookViews>
  <sheets>
    <sheet name="BE_check" sheetId="29" r:id="rId1"/>
    <sheet name="ME_PD_1" sheetId="40" r:id="rId2"/>
    <sheet name="Re-assign" sheetId="41" r:id="rId3"/>
    <sheet name="Re-assign-MD" sheetId="42" r:id="rId4"/>
    <sheet name="Re-assign-KDT" sheetId="44" r:id="rId5"/>
  </sheets>
  <definedNames>
    <definedName name="_xlnm._FilterDatabase" localSheetId="0" hidden="1">BE_check!$G$114:$I$130</definedName>
    <definedName name="_xlnm._FilterDatabase" localSheetId="2" hidden="1">'Re-assign'!$F$1:$F$159</definedName>
    <definedName name="Bcc">#REF!</definedName>
    <definedName name="Cc">#REF!</definedName>
    <definedName name="Confirmations">#REF!</definedName>
    <definedName name="FirstSheet">#REF!</definedName>
    <definedName name="IncSheets">#REF!</definedName>
    <definedName name="ListSheets">#REF!</definedName>
    <definedName name="Name">#REF!</definedName>
    <definedName name="Phases">#REF!</definedName>
    <definedName name="Protect?">#REF!</definedName>
    <definedName name="ProtectInvoices">#REF!</definedName>
    <definedName name="PsWd">#REF!</definedName>
    <definedName name="ReportDate">#REF!</definedName>
    <definedName name="Subject">#REF!</definedName>
    <definedName name="T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7" i="29" l="1"/>
  <c r="B387" i="29"/>
  <c r="C387" i="29"/>
  <c r="A388" i="29"/>
  <c r="B388" i="29"/>
  <c r="C388" i="29"/>
  <c r="A389" i="29"/>
  <c r="B389" i="29"/>
  <c r="C389" i="29"/>
  <c r="A390" i="29"/>
  <c r="B390" i="29"/>
  <c r="C390" i="29"/>
  <c r="A391" i="29"/>
  <c r="B391" i="29"/>
  <c r="C391" i="29"/>
  <c r="A392" i="29"/>
  <c r="B392" i="29"/>
  <c r="C392" i="29"/>
  <c r="C425" i="29"/>
  <c r="B425" i="29"/>
  <c r="A425" i="29"/>
  <c r="C294" i="29"/>
  <c r="B294" i="29"/>
  <c r="A294" i="29"/>
  <c r="C293" i="29"/>
  <c r="B293" i="29"/>
  <c r="A293" i="29"/>
  <c r="C259" i="29"/>
  <c r="B259" i="29"/>
  <c r="A259" i="29"/>
  <c r="C246" i="29"/>
  <c r="B246" i="29"/>
  <c r="A246" i="29"/>
  <c r="C245" i="29"/>
  <c r="B245" i="29"/>
  <c r="A245" i="29"/>
  <c r="C244" i="29"/>
  <c r="B244" i="29"/>
  <c r="A244" i="29"/>
  <c r="C243" i="29"/>
  <c r="B243" i="29"/>
  <c r="A243" i="29"/>
  <c r="C242" i="29"/>
  <c r="B242" i="29"/>
  <c r="A242" i="29"/>
  <c r="C372" i="29"/>
  <c r="B372" i="29"/>
  <c r="A372" i="29"/>
  <c r="C371" i="29"/>
  <c r="B371" i="29"/>
  <c r="A371" i="29"/>
  <c r="C122" i="29"/>
  <c r="B122" i="29"/>
  <c r="A122" i="29"/>
  <c r="C121" i="29"/>
  <c r="B121" i="29"/>
  <c r="A121" i="29"/>
  <c r="C368" i="29" l="1"/>
  <c r="B368" i="29"/>
  <c r="A368" i="29"/>
  <c r="C367" i="29"/>
  <c r="B367" i="29"/>
  <c r="A367" i="29"/>
  <c r="C333" i="29" l="1"/>
  <c r="B333" i="29"/>
  <c r="A333" i="29"/>
  <c r="C430" i="29"/>
  <c r="B430" i="29"/>
  <c r="A430" i="29"/>
  <c r="C429" i="29"/>
  <c r="B429" i="29"/>
  <c r="A429" i="29"/>
  <c r="C364" i="29"/>
  <c r="B364" i="29"/>
  <c r="A364" i="29"/>
  <c r="C357" i="29"/>
  <c r="B357" i="29"/>
  <c r="A357" i="29"/>
  <c r="C356" i="29"/>
  <c r="B356" i="29"/>
  <c r="A356" i="29"/>
  <c r="C90" i="29"/>
  <c r="B90" i="29"/>
  <c r="A90" i="29"/>
  <c r="C89" i="29"/>
  <c r="B89" i="29"/>
  <c r="A89" i="29"/>
  <c r="C88" i="29"/>
  <c r="B88" i="29"/>
  <c r="A88" i="29"/>
  <c r="C87" i="29"/>
  <c r="B87" i="29"/>
  <c r="A87" i="29"/>
  <c r="C86" i="29"/>
  <c r="B86" i="29"/>
  <c r="A86" i="29"/>
  <c r="C85" i="29"/>
  <c r="B85" i="29"/>
  <c r="A85" i="29"/>
  <c r="C289" i="29"/>
  <c r="B289" i="29"/>
  <c r="A289" i="29"/>
  <c r="C268" i="29"/>
  <c r="B268" i="29"/>
  <c r="A268" i="29"/>
  <c r="C257" i="29"/>
  <c r="B257" i="29"/>
  <c r="A257" i="29"/>
  <c r="C256" i="29"/>
  <c r="B256" i="29"/>
  <c r="A256" i="29"/>
  <c r="C267" i="29"/>
  <c r="B267" i="29"/>
  <c r="A267" i="29"/>
  <c r="C266" i="29"/>
  <c r="B266" i="29"/>
  <c r="A266" i="29"/>
  <c r="C288" i="29"/>
  <c r="B288" i="29"/>
  <c r="A288" i="29"/>
  <c r="C287" i="29"/>
  <c r="B287" i="29"/>
  <c r="A287" i="29"/>
  <c r="C286" i="29"/>
  <c r="B286" i="29"/>
  <c r="A286" i="29"/>
  <c r="C421" i="29" l="1"/>
  <c r="B421" i="29"/>
  <c r="A421" i="29"/>
  <c r="C420" i="29"/>
  <c r="B420" i="29"/>
  <c r="A420" i="29"/>
  <c r="C419" i="29"/>
  <c r="B419" i="29"/>
  <c r="A419" i="29"/>
  <c r="C418" i="29"/>
  <c r="B418" i="29"/>
  <c r="A418" i="29"/>
  <c r="C417" i="29"/>
  <c r="B417" i="29"/>
  <c r="A417" i="29"/>
  <c r="C48" i="29"/>
  <c r="B48" i="29"/>
  <c r="A48" i="29"/>
  <c r="C46" i="29"/>
  <c r="B46" i="29"/>
  <c r="A46" i="29"/>
  <c r="C338" i="29"/>
  <c r="B338" i="29"/>
  <c r="A338" i="29"/>
  <c r="C44" i="29"/>
  <c r="B44" i="29"/>
  <c r="A44" i="29"/>
  <c r="C42" i="29"/>
  <c r="B42" i="29"/>
  <c r="A42" i="29"/>
  <c r="C265" i="29"/>
  <c r="B265" i="29"/>
  <c r="A265" i="29"/>
  <c r="C264" i="29"/>
  <c r="B264" i="29"/>
  <c r="A264" i="29"/>
  <c r="C296" i="29"/>
  <c r="B296" i="29"/>
  <c r="A296" i="29"/>
  <c r="C111" i="29"/>
  <c r="B111" i="29"/>
  <c r="A111" i="29"/>
  <c r="C383" i="29"/>
  <c r="B383" i="29"/>
  <c r="A383" i="29"/>
  <c r="C382" i="29"/>
  <c r="B382" i="29"/>
  <c r="A382" i="29"/>
  <c r="C381" i="29"/>
  <c r="B381" i="29"/>
  <c r="A381" i="29"/>
  <c r="C393" i="29" l="1"/>
  <c r="B393" i="29"/>
  <c r="A393" i="29"/>
  <c r="C159" i="29"/>
  <c r="B159" i="29"/>
  <c r="A159" i="29"/>
  <c r="C158" i="29"/>
  <c r="B158" i="29"/>
  <c r="A158" i="29"/>
  <c r="C157" i="29"/>
  <c r="B157" i="29"/>
  <c r="A157" i="29"/>
  <c r="C148" i="29"/>
  <c r="B148" i="29"/>
  <c r="A148" i="29"/>
  <c r="C147" i="29"/>
  <c r="B147" i="29"/>
  <c r="A147" i="29"/>
  <c r="C226" i="29"/>
  <c r="B226" i="29"/>
  <c r="A226" i="29"/>
  <c r="C320" i="29"/>
  <c r="B320" i="29"/>
  <c r="A320" i="29"/>
  <c r="C225" i="29"/>
  <c r="B225" i="29"/>
  <c r="A225" i="29"/>
  <c r="C224" i="29"/>
  <c r="B224" i="29"/>
  <c r="A224" i="29"/>
  <c r="C146" i="29"/>
  <c r="B146" i="29"/>
  <c r="A146" i="29"/>
  <c r="C263" i="29"/>
  <c r="B263" i="29"/>
  <c r="A263" i="29"/>
  <c r="C145" i="29"/>
  <c r="B145" i="29"/>
  <c r="A145" i="29"/>
  <c r="C223" i="29"/>
  <c r="B223" i="29"/>
  <c r="A223" i="29"/>
  <c r="C222" i="29"/>
  <c r="B222" i="29"/>
  <c r="A222" i="29"/>
  <c r="C144" i="29"/>
  <c r="B144" i="29"/>
  <c r="A144" i="29"/>
  <c r="C143" i="29"/>
  <c r="B143" i="29"/>
  <c r="A143" i="29"/>
  <c r="C142" i="29"/>
  <c r="B142" i="29"/>
  <c r="A142" i="29"/>
  <c r="C141" i="29" l="1"/>
  <c r="B141" i="29"/>
  <c r="A141" i="29"/>
  <c r="C110" i="29"/>
  <c r="B110" i="29"/>
  <c r="A110" i="29"/>
  <c r="C109" i="29"/>
  <c r="B109" i="29"/>
  <c r="A109" i="29"/>
  <c r="C108" i="29"/>
  <c r="B108" i="29"/>
  <c r="A108" i="29"/>
  <c r="C107" i="29"/>
  <c r="B107" i="29"/>
  <c r="A107" i="29"/>
  <c r="C106" i="29"/>
  <c r="B106" i="29"/>
  <c r="A106" i="29"/>
  <c r="C105" i="29"/>
  <c r="B105" i="29"/>
  <c r="A105" i="29"/>
  <c r="C104" i="29"/>
  <c r="B104" i="29"/>
  <c r="A104" i="29"/>
  <c r="C33" i="29"/>
  <c r="B33" i="29"/>
  <c r="A33" i="29"/>
  <c r="C100" i="29"/>
  <c r="B100" i="29"/>
  <c r="A100" i="29"/>
  <c r="C99" i="29"/>
  <c r="B99" i="29"/>
  <c r="A99" i="29"/>
  <c r="C98" i="29"/>
  <c r="B98" i="29"/>
  <c r="A98" i="29"/>
  <c r="C97" i="29"/>
  <c r="B97" i="29"/>
  <c r="A97" i="29"/>
  <c r="C96" i="29"/>
  <c r="B96" i="29"/>
  <c r="A96" i="29"/>
  <c r="C95" i="29"/>
  <c r="B95" i="29"/>
  <c r="A95" i="29"/>
  <c r="C94" i="29"/>
  <c r="B94" i="29"/>
  <c r="A94" i="29"/>
  <c r="C93" i="29"/>
  <c r="B93" i="29"/>
  <c r="A93" i="29"/>
  <c r="C92" i="29"/>
  <c r="B92" i="29"/>
  <c r="A92" i="29"/>
  <c r="C91" i="29"/>
  <c r="B91" i="29"/>
  <c r="A91" i="29"/>
  <c r="C84" i="29"/>
  <c r="B84" i="29"/>
  <c r="A84" i="29"/>
  <c r="C83" i="29"/>
  <c r="B83" i="29"/>
  <c r="A83" i="29"/>
  <c r="C82" i="29"/>
  <c r="B82" i="29"/>
  <c r="A82" i="29"/>
  <c r="C81" i="29"/>
  <c r="B81" i="29"/>
  <c r="A81" i="29"/>
  <c r="C77" i="29"/>
  <c r="B77" i="29"/>
  <c r="A77" i="29"/>
  <c r="C76" i="29"/>
  <c r="B76" i="29"/>
  <c r="A76" i="29"/>
  <c r="C75" i="29"/>
  <c r="B75" i="29"/>
  <c r="A75" i="29"/>
  <c r="C74" i="29"/>
  <c r="B74" i="29"/>
  <c r="A74" i="29"/>
  <c r="C73" i="29"/>
  <c r="B73" i="29"/>
  <c r="A73" i="29"/>
  <c r="C72" i="29"/>
  <c r="B72" i="29"/>
  <c r="A72" i="29"/>
  <c r="C71" i="29"/>
  <c r="B71" i="29"/>
  <c r="A71" i="29"/>
  <c r="C70" i="29"/>
  <c r="B70" i="29"/>
  <c r="A70" i="29"/>
  <c r="C69" i="29"/>
  <c r="B69" i="29"/>
  <c r="A69" i="29"/>
  <c r="C68" i="29"/>
  <c r="B68" i="29"/>
  <c r="A68" i="29"/>
  <c r="C67" i="29"/>
  <c r="B67" i="29"/>
  <c r="A67" i="29"/>
  <c r="C35" i="29"/>
  <c r="B35" i="29"/>
  <c r="A35" i="29"/>
  <c r="C310" i="29" l="1"/>
  <c r="B310" i="29"/>
  <c r="A310" i="29"/>
  <c r="C309" i="29"/>
  <c r="B309" i="29"/>
  <c r="A309" i="29"/>
  <c r="C308" i="29"/>
  <c r="B308" i="29"/>
  <c r="A308" i="29"/>
  <c r="C307" i="29"/>
  <c r="B307" i="29"/>
  <c r="A307" i="29"/>
  <c r="C295" i="29"/>
  <c r="B295" i="29"/>
  <c r="A295" i="29"/>
  <c r="C319" i="29"/>
  <c r="B319" i="29"/>
  <c r="A319" i="29"/>
  <c r="C63" i="29" l="1"/>
  <c r="B63" i="29"/>
  <c r="A63" i="29"/>
  <c r="C62" i="29"/>
  <c r="B62" i="29"/>
  <c r="A62" i="29"/>
  <c r="C61" i="29"/>
  <c r="B61" i="29"/>
  <c r="A61" i="29"/>
  <c r="C60" i="29"/>
  <c r="B60" i="29"/>
  <c r="A60" i="29"/>
  <c r="C59" i="29"/>
  <c r="B59" i="29"/>
  <c r="A59" i="29"/>
  <c r="C58" i="29"/>
  <c r="B58" i="29"/>
  <c r="A58" i="29"/>
  <c r="C54" i="29"/>
  <c r="B54" i="29"/>
  <c r="A54" i="29"/>
  <c r="C53" i="29"/>
  <c r="B53" i="29"/>
  <c r="A53" i="29"/>
  <c r="C52" i="29"/>
  <c r="B52" i="29"/>
  <c r="A52" i="29"/>
  <c r="C51" i="29"/>
  <c r="B51" i="29"/>
  <c r="A51" i="29"/>
  <c r="C50" i="29"/>
  <c r="B50" i="29"/>
  <c r="A50" i="29"/>
  <c r="C49" i="29"/>
  <c r="B49" i="29"/>
  <c r="A49" i="29"/>
  <c r="C47" i="29"/>
  <c r="B47" i="29"/>
  <c r="A47" i="29"/>
  <c r="C45" i="29"/>
  <c r="B45" i="29"/>
  <c r="A45" i="29"/>
  <c r="C43" i="29"/>
  <c r="B43" i="29"/>
  <c r="A43" i="29"/>
  <c r="C41" i="29"/>
  <c r="B41" i="29"/>
  <c r="A41" i="29"/>
  <c r="C40" i="29"/>
  <c r="B40" i="29"/>
  <c r="A40" i="29"/>
  <c r="C39" i="29"/>
  <c r="B39" i="29"/>
  <c r="A39" i="29"/>
  <c r="C34" i="29"/>
  <c r="B34" i="29"/>
  <c r="A34" i="29"/>
  <c r="C32" i="29"/>
  <c r="B32" i="29"/>
  <c r="A32" i="29"/>
  <c r="C31" i="29"/>
  <c r="B31" i="29"/>
  <c r="A31" i="29"/>
  <c r="C413" i="29"/>
  <c r="B413" i="29"/>
  <c r="A413" i="29"/>
  <c r="C412" i="29"/>
  <c r="B412" i="29"/>
  <c r="A412" i="29"/>
  <c r="C411" i="29"/>
  <c r="B411" i="29"/>
  <c r="A411" i="29"/>
  <c r="C410" i="29"/>
  <c r="B410" i="29"/>
  <c r="A410" i="29"/>
  <c r="C409" i="29"/>
  <c r="B409" i="29"/>
  <c r="A409" i="29"/>
  <c r="C408" i="29"/>
  <c r="B408" i="29"/>
  <c r="A408" i="29"/>
  <c r="C407" i="29"/>
  <c r="B407" i="29"/>
  <c r="A407" i="29"/>
  <c r="C406" i="29"/>
  <c r="B406" i="29"/>
  <c r="A406" i="29"/>
  <c r="C282" i="29"/>
  <c r="B282" i="29"/>
  <c r="A282" i="29"/>
  <c r="C281" i="29"/>
  <c r="B281" i="29"/>
  <c r="A281" i="29"/>
  <c r="C280" i="29"/>
  <c r="B280" i="29"/>
  <c r="A280" i="29"/>
  <c r="C402" i="29"/>
  <c r="B402" i="29"/>
  <c r="A402" i="29"/>
  <c r="C401" i="29"/>
  <c r="B401" i="29"/>
  <c r="A401" i="29"/>
  <c r="C400" i="29"/>
  <c r="B400" i="29"/>
  <c r="A400" i="29"/>
  <c r="C399" i="29"/>
  <c r="B399" i="29"/>
  <c r="A399" i="29"/>
  <c r="C398" i="29"/>
  <c r="B398" i="29"/>
  <c r="A398" i="29"/>
  <c r="C397" i="29"/>
  <c r="B397" i="29"/>
  <c r="A397" i="29"/>
  <c r="C380" i="29"/>
  <c r="B380" i="29"/>
  <c r="A380" i="29"/>
  <c r="C379" i="29"/>
  <c r="B379" i="29"/>
  <c r="A379" i="29"/>
  <c r="C378" i="29"/>
  <c r="B378" i="29"/>
  <c r="A378" i="29"/>
  <c r="C377" i="29"/>
  <c r="B377" i="29"/>
  <c r="A377" i="29"/>
  <c r="C376" i="29"/>
  <c r="B376" i="29"/>
  <c r="A376" i="29"/>
  <c r="C370" i="29"/>
  <c r="B370" i="29"/>
  <c r="A370" i="29"/>
  <c r="C369" i="29"/>
  <c r="B369" i="29"/>
  <c r="A369" i="29"/>
  <c r="C366" i="29"/>
  <c r="B366" i="29"/>
  <c r="A366" i="29"/>
  <c r="C365" i="29"/>
  <c r="B365" i="29"/>
  <c r="A365" i="29"/>
  <c r="C363" i="29"/>
  <c r="B363" i="29"/>
  <c r="A363" i="29"/>
  <c r="C362" i="29"/>
  <c r="B362" i="29"/>
  <c r="A362" i="29"/>
  <c r="C361" i="29"/>
  <c r="B361" i="29"/>
  <c r="A361" i="29"/>
  <c r="C360" i="29"/>
  <c r="B360" i="29"/>
  <c r="A360" i="29"/>
  <c r="C359" i="29"/>
  <c r="B359" i="29"/>
  <c r="A359" i="29"/>
  <c r="C358" i="29"/>
  <c r="B358" i="29"/>
  <c r="A358" i="29"/>
  <c r="C355" i="29"/>
  <c r="B355" i="29"/>
  <c r="A355" i="29"/>
  <c r="C354" i="29"/>
  <c r="B354" i="29"/>
  <c r="A354" i="29"/>
  <c r="C353" i="29"/>
  <c r="B353" i="29"/>
  <c r="A353" i="29"/>
  <c r="C352" i="29"/>
  <c r="B352" i="29"/>
  <c r="A352" i="29"/>
  <c r="C351" i="29"/>
  <c r="B351" i="29"/>
  <c r="A351" i="29"/>
  <c r="C350" i="29"/>
  <c r="B350" i="29"/>
  <c r="A350" i="29"/>
  <c r="C349" i="29"/>
  <c r="B349" i="29"/>
  <c r="A349" i="29"/>
  <c r="C348" i="29"/>
  <c r="B348" i="29"/>
  <c r="A348" i="29"/>
  <c r="C347" i="29"/>
  <c r="B347" i="29"/>
  <c r="A347" i="29"/>
  <c r="C346" i="29"/>
  <c r="B346" i="29"/>
  <c r="A346" i="29"/>
  <c r="C345" i="29"/>
  <c r="B345" i="29"/>
  <c r="A345" i="29"/>
  <c r="C344" i="29"/>
  <c r="B344" i="29"/>
  <c r="A344" i="29"/>
  <c r="C343" i="29"/>
  <c r="B343" i="29"/>
  <c r="A343" i="29"/>
  <c r="C342" i="29"/>
  <c r="B342" i="29"/>
  <c r="A342" i="29"/>
  <c r="C341" i="29"/>
  <c r="B341" i="29"/>
  <c r="A341" i="29"/>
  <c r="C340" i="29"/>
  <c r="B340" i="29"/>
  <c r="A340" i="29"/>
  <c r="C339" i="29"/>
  <c r="B339" i="29"/>
  <c r="A339" i="29"/>
  <c r="C337" i="29"/>
  <c r="B337" i="29"/>
  <c r="A337" i="29"/>
  <c r="C329" i="29"/>
  <c r="B329" i="29"/>
  <c r="A329" i="29"/>
  <c r="C328" i="29"/>
  <c r="B328" i="29"/>
  <c r="A328" i="29"/>
  <c r="C327" i="29"/>
  <c r="B327" i="29"/>
  <c r="A327" i="29"/>
  <c r="C326" i="29"/>
  <c r="B326" i="29"/>
  <c r="A326" i="29"/>
  <c r="C325" i="29"/>
  <c r="B325" i="29"/>
  <c r="A325" i="29"/>
  <c r="C324" i="29"/>
  <c r="B324" i="29"/>
  <c r="A324" i="29"/>
  <c r="C279" i="29"/>
  <c r="B279" i="29"/>
  <c r="A279" i="29"/>
  <c r="C278" i="29"/>
  <c r="B278" i="29"/>
  <c r="A278" i="29"/>
  <c r="C277" i="29"/>
  <c r="B277" i="29"/>
  <c r="A277" i="29"/>
  <c r="C276" i="29"/>
  <c r="B276" i="29"/>
  <c r="A276" i="29"/>
  <c r="C275" i="29"/>
  <c r="B275" i="29"/>
  <c r="A275" i="29"/>
  <c r="C274" i="29"/>
  <c r="B274" i="29"/>
  <c r="A274" i="29"/>
  <c r="C273" i="29"/>
  <c r="B273" i="29"/>
  <c r="A273" i="29"/>
  <c r="C272" i="29"/>
  <c r="B272" i="29"/>
  <c r="A272" i="29"/>
  <c r="C318" i="29"/>
  <c r="B318" i="29"/>
  <c r="A318" i="29"/>
  <c r="C317" i="29"/>
  <c r="B317" i="29"/>
  <c r="A317" i="29"/>
  <c r="C316" i="29"/>
  <c r="B316" i="29"/>
  <c r="A316" i="29"/>
  <c r="C315" i="29"/>
  <c r="B315" i="29"/>
  <c r="A315" i="29"/>
  <c r="C314" i="29"/>
  <c r="B314" i="29"/>
  <c r="A314" i="29"/>
  <c r="C313" i="29"/>
  <c r="B313" i="29"/>
  <c r="A313" i="29"/>
  <c r="C312" i="29"/>
  <c r="B312" i="29"/>
  <c r="A312" i="29"/>
  <c r="C311" i="29"/>
  <c r="B311" i="29"/>
  <c r="A311" i="29"/>
  <c r="C306" i="29"/>
  <c r="B306" i="29"/>
  <c r="A306" i="29"/>
  <c r="C305" i="29"/>
  <c r="B305" i="29"/>
  <c r="A305" i="29"/>
  <c r="C304" i="29"/>
  <c r="B304" i="29"/>
  <c r="A304" i="29"/>
  <c r="C303" i="29"/>
  <c r="B303" i="29"/>
  <c r="A303" i="29"/>
  <c r="C302" i="29"/>
  <c r="B302" i="29"/>
  <c r="A302" i="29"/>
  <c r="C301" i="29"/>
  <c r="B301" i="29"/>
  <c r="A301" i="29"/>
  <c r="C300" i="29"/>
  <c r="B300" i="29"/>
  <c r="A300" i="29"/>
  <c r="C299" i="29"/>
  <c r="B299" i="29"/>
  <c r="A299" i="29"/>
  <c r="C298" i="29"/>
  <c r="B298" i="29"/>
  <c r="A298" i="29"/>
  <c r="C297" i="29"/>
  <c r="B297" i="29"/>
  <c r="A297" i="29"/>
  <c r="C260" i="29"/>
  <c r="B260" i="29"/>
  <c r="A260" i="29"/>
  <c r="C262" i="29"/>
  <c r="B262" i="29"/>
  <c r="A262" i="29"/>
  <c r="C261" i="29"/>
  <c r="B261" i="29"/>
  <c r="A261" i="29"/>
  <c r="C258" i="29"/>
  <c r="B258" i="29"/>
  <c r="A258" i="29"/>
  <c r="C255" i="29"/>
  <c r="B255" i="29"/>
  <c r="A255" i="29"/>
  <c r="C254" i="29"/>
  <c r="B254" i="29"/>
  <c r="A254" i="29"/>
  <c r="C253" i="29"/>
  <c r="B253" i="29"/>
  <c r="A253" i="29"/>
  <c r="C252" i="29"/>
  <c r="B252" i="29"/>
  <c r="A252" i="29"/>
  <c r="C251" i="29"/>
  <c r="B251" i="29"/>
  <c r="A251" i="29"/>
  <c r="C250" i="29"/>
  <c r="B250" i="29"/>
  <c r="A250" i="29"/>
  <c r="C249" i="29"/>
  <c r="B249" i="29"/>
  <c r="A249" i="29"/>
  <c r="C248" i="29"/>
  <c r="B248" i="29"/>
  <c r="A248" i="29"/>
  <c r="C247" i="29"/>
  <c r="B247" i="29"/>
  <c r="A247" i="29"/>
  <c r="C241" i="29"/>
  <c r="B241" i="29"/>
  <c r="A241" i="29"/>
  <c r="C237" i="29"/>
  <c r="B237" i="29"/>
  <c r="A237" i="29"/>
  <c r="C236" i="29"/>
  <c r="B236" i="29"/>
  <c r="A236" i="29"/>
  <c r="C235" i="29"/>
  <c r="B235" i="29"/>
  <c r="A235" i="29"/>
  <c r="C234" i="29"/>
  <c r="B234" i="29"/>
  <c r="A234" i="29"/>
  <c r="C233" i="29"/>
  <c r="B233" i="29"/>
  <c r="A233" i="29"/>
  <c r="C232" i="29"/>
  <c r="B232" i="29"/>
  <c r="A232" i="29"/>
  <c r="C231" i="29"/>
  <c r="B231" i="29"/>
  <c r="A231" i="29"/>
  <c r="C230" i="29"/>
  <c r="B230" i="29"/>
  <c r="A230" i="29"/>
  <c r="C218" i="29"/>
  <c r="B218" i="29"/>
  <c r="A218" i="29"/>
  <c r="C217" i="29"/>
  <c r="B217" i="29"/>
  <c r="A217" i="29"/>
  <c r="C216" i="29"/>
  <c r="B216" i="29"/>
  <c r="A216" i="29"/>
  <c r="C215" i="29"/>
  <c r="B215" i="29"/>
  <c r="A215" i="29"/>
  <c r="C214" i="29"/>
  <c r="B214" i="29"/>
  <c r="A214" i="29"/>
  <c r="C178" i="29"/>
  <c r="B178" i="29"/>
  <c r="A178" i="29"/>
  <c r="C201" i="29"/>
  <c r="B201" i="29"/>
  <c r="A201" i="29"/>
  <c r="C200" i="29"/>
  <c r="B200" i="29"/>
  <c r="A200" i="29"/>
  <c r="C199" i="29"/>
  <c r="B199" i="29"/>
  <c r="A199" i="29"/>
  <c r="C198" i="29"/>
  <c r="B198" i="29"/>
  <c r="A198" i="29"/>
  <c r="C213" i="29"/>
  <c r="B213" i="29"/>
  <c r="A213" i="29"/>
  <c r="C212" i="29"/>
  <c r="B212" i="29"/>
  <c r="A212" i="29"/>
  <c r="C211" i="29"/>
  <c r="B211" i="29"/>
  <c r="A211" i="29"/>
  <c r="C210" i="29"/>
  <c r="B210" i="29"/>
  <c r="A210" i="29"/>
  <c r="C209" i="29"/>
  <c r="B209" i="29"/>
  <c r="A209" i="29"/>
  <c r="C208" i="29"/>
  <c r="B208" i="29"/>
  <c r="A208" i="29"/>
  <c r="C207" i="29"/>
  <c r="B207" i="29"/>
  <c r="A207" i="29"/>
  <c r="C206" i="29"/>
  <c r="B206" i="29"/>
  <c r="A206" i="29"/>
  <c r="C205" i="29"/>
  <c r="B205" i="29"/>
  <c r="A205" i="29"/>
  <c r="C204" i="29"/>
  <c r="B204" i="29"/>
  <c r="A204" i="29"/>
  <c r="C203" i="29"/>
  <c r="B203" i="29"/>
  <c r="A203" i="29"/>
  <c r="C202" i="29"/>
  <c r="B202" i="29"/>
  <c r="A202" i="29"/>
  <c r="C197" i="29"/>
  <c r="B197" i="29"/>
  <c r="A197" i="29"/>
  <c r="C196" i="29"/>
  <c r="B196" i="29"/>
  <c r="A196" i="29"/>
  <c r="C195" i="29"/>
  <c r="B195" i="29"/>
  <c r="A195" i="29"/>
  <c r="C194" i="29"/>
  <c r="B194" i="29"/>
  <c r="A194" i="29"/>
  <c r="C193" i="29"/>
  <c r="B193" i="29"/>
  <c r="A193" i="29"/>
  <c r="C192" i="29"/>
  <c r="B192" i="29"/>
  <c r="A192" i="29"/>
  <c r="C191" i="29"/>
  <c r="B191" i="29"/>
  <c r="A191" i="29"/>
  <c r="C190" i="29"/>
  <c r="B190" i="29"/>
  <c r="A190" i="29"/>
  <c r="C189" i="29"/>
  <c r="B189" i="29"/>
  <c r="A189" i="29"/>
  <c r="C188" i="29"/>
  <c r="B188" i="29"/>
  <c r="A188" i="29"/>
  <c r="C187" i="29"/>
  <c r="B187" i="29"/>
  <c r="A187" i="29"/>
  <c r="C186" i="29"/>
  <c r="B186" i="29"/>
  <c r="A186" i="29"/>
  <c r="C185" i="29"/>
  <c r="B185" i="29"/>
  <c r="A185" i="29"/>
  <c r="C184" i="29"/>
  <c r="B184" i="29"/>
  <c r="A184" i="29"/>
  <c r="C183" i="29"/>
  <c r="B183" i="29"/>
  <c r="A183" i="29"/>
  <c r="C182" i="29"/>
  <c r="B182" i="29"/>
  <c r="A182" i="29"/>
  <c r="C181" i="29"/>
  <c r="B181" i="29"/>
  <c r="A181" i="29"/>
  <c r="C180" i="29"/>
  <c r="B180" i="29"/>
  <c r="A180" i="29"/>
  <c r="C179" i="29"/>
  <c r="B179" i="29"/>
  <c r="A179" i="29"/>
  <c r="C177" i="29"/>
  <c r="B177" i="29"/>
  <c r="A177" i="29"/>
  <c r="C176" i="29"/>
  <c r="B176" i="29"/>
  <c r="A176" i="29"/>
  <c r="C175" i="29"/>
  <c r="B175" i="29"/>
  <c r="A175" i="29"/>
  <c r="C174" i="29"/>
  <c r="B174" i="29"/>
  <c r="A174" i="29"/>
  <c r="C173" i="29"/>
  <c r="B173" i="29"/>
  <c r="A173" i="29"/>
  <c r="C172" i="29"/>
  <c r="B172" i="29"/>
  <c r="A172" i="29"/>
  <c r="C171" i="29"/>
  <c r="B171" i="29"/>
  <c r="A171" i="29"/>
  <c r="C170" i="29"/>
  <c r="B170" i="29"/>
  <c r="A170" i="29"/>
  <c r="C169" i="29"/>
  <c r="B169" i="29"/>
  <c r="A169" i="29"/>
  <c r="C168" i="29"/>
  <c r="B168" i="29"/>
  <c r="A168" i="29"/>
  <c r="C167" i="29"/>
  <c r="B167" i="29"/>
  <c r="A167" i="29"/>
  <c r="C166" i="29"/>
  <c r="B166" i="29"/>
  <c r="A166" i="29"/>
  <c r="C165" i="29"/>
  <c r="B165" i="29"/>
  <c r="A165" i="29"/>
  <c r="C164" i="29"/>
  <c r="B164" i="29"/>
  <c r="A164" i="29"/>
  <c r="C163" i="29"/>
  <c r="B163" i="29"/>
  <c r="A163" i="29"/>
  <c r="C156" i="29"/>
  <c r="B156" i="29"/>
  <c r="A156" i="29"/>
  <c r="C155" i="29"/>
  <c r="B155" i="29"/>
  <c r="A155" i="29"/>
  <c r="C154" i="29"/>
  <c r="B154" i="29"/>
  <c r="A154" i="29"/>
  <c r="C153" i="29"/>
  <c r="B153" i="29"/>
  <c r="A153" i="29"/>
  <c r="C152" i="29"/>
  <c r="B152" i="29"/>
  <c r="A152" i="29"/>
  <c r="C151" i="29"/>
  <c r="B151" i="29"/>
  <c r="A151" i="29"/>
  <c r="C150" i="29"/>
  <c r="B150" i="29"/>
  <c r="A150" i="29"/>
  <c r="C149" i="29"/>
  <c r="B149" i="29"/>
  <c r="A149" i="29"/>
  <c r="C140" i="29"/>
  <c r="B140" i="29"/>
  <c r="A140" i="29"/>
  <c r="C139" i="29"/>
  <c r="B139" i="29"/>
  <c r="A139" i="29"/>
  <c r="C138" i="29"/>
  <c r="B138" i="29"/>
  <c r="A138" i="29"/>
  <c r="C137" i="29"/>
  <c r="B137" i="29"/>
  <c r="A137" i="29"/>
  <c r="C136" i="29"/>
  <c r="B136" i="29"/>
  <c r="A136" i="29"/>
  <c r="C135" i="29"/>
  <c r="B135" i="29"/>
  <c r="A135" i="29"/>
  <c r="C134" i="29"/>
  <c r="B134" i="29"/>
  <c r="A134" i="29"/>
  <c r="C133" i="29"/>
  <c r="B133" i="29"/>
  <c r="A133" i="29"/>
  <c r="C132" i="29"/>
  <c r="B132" i="29"/>
  <c r="A132" i="29"/>
  <c r="C131" i="29"/>
  <c r="B131" i="29"/>
  <c r="A131" i="29"/>
  <c r="C117" i="29" l="1"/>
  <c r="B117" i="29"/>
  <c r="A117" i="29"/>
  <c r="C116" i="29"/>
  <c r="B116" i="29"/>
  <c r="A116" i="29"/>
  <c r="C115" i="29"/>
  <c r="B115" i="29"/>
  <c r="A115" i="29"/>
  <c r="C130" i="29"/>
  <c r="B130" i="29"/>
  <c r="A130" i="29"/>
  <c r="C129" i="29"/>
  <c r="B129" i="29"/>
  <c r="A129" i="29"/>
  <c r="C128" i="29"/>
  <c r="B128" i="29"/>
  <c r="A128" i="29"/>
  <c r="C127" i="29"/>
  <c r="B127" i="29"/>
  <c r="A127" i="29"/>
  <c r="C126" i="29"/>
  <c r="B126" i="29"/>
  <c r="A126" i="29"/>
  <c r="C120" i="29"/>
  <c r="B120" i="29"/>
  <c r="A120" i="29"/>
  <c r="C119" i="29"/>
  <c r="B119" i="29"/>
  <c r="A119" i="29"/>
  <c r="C118" i="29"/>
  <c r="B118" i="29"/>
  <c r="A118" i="29"/>
  <c r="A27" i="2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35" authorId="0" shapeId="0" xr:uid="{BF248553-AA5F-47AF-AFE1-9E0701F12778}">
      <text>
        <r>
          <rPr>
            <sz val="9"/>
            <color indexed="81"/>
            <rFont val="Tahoma"/>
            <family val="2"/>
          </rPr>
          <t xml:space="preserve">Author:
Referenace Setting in Innovus:
set_analysis_view -setup [all_setup_analysis_views] -hold [all_hold_analysis_views] –leakage ${_power_view} -dynamic ${_power_view}
</t>
        </r>
        <r>
          <rPr>
            <b/>
            <sz val="9"/>
            <color indexed="81"/>
            <rFont val="Tahoma"/>
            <family val="2"/>
          </rPr>
          <t>setDesignMode -powerEffort high</t>
        </r>
        <r>
          <rPr>
            <sz val="9"/>
            <color indexed="81"/>
            <rFont val="Tahoma"/>
            <family val="2"/>
          </rPr>
          <t xml:space="preserve">
setDesignMode -propagateActivity true
setOptMode </t>
        </r>
        <r>
          <rPr>
            <b/>
            <sz val="9"/>
            <color indexed="81"/>
            <rFont val="Tahoma"/>
            <family val="2"/>
          </rPr>
          <t xml:space="preserve">-leakageToDynamicRatio 0.2 </t>
        </r>
        <r>
          <rPr>
            <sz val="9"/>
            <color indexed="81"/>
            <rFont val="Tahoma"/>
            <family val="2"/>
          </rPr>
          <t xml:space="preserve">-enableOptLAForPower true </t>
        </r>
        <r>
          <rPr>
            <b/>
            <sz val="9"/>
            <color indexed="81"/>
            <rFont val="Tahoma"/>
            <family val="2"/>
          </rPr>
          <t>-powerEffort high</t>
        </r>
        <r>
          <rPr>
            <sz val="9"/>
            <color indexed="81"/>
            <rFont val="Tahoma"/>
            <family val="2"/>
          </rPr>
          <t xml:space="preserve">
set_default_switching_activity -input_activity 0.15 -clip_activity_to_domain_freq true
setNanoRouteMode -grouteWithPowerDriven true -grouteExpPowerDrivenEffort medium
For the block like DS with 6400Mbps data rate(timing extremely critical), high power effort may impact the timing closure much, you may can set low and that still helps on active power reduction. 
</t>
        </r>
      </text>
    </comment>
    <comment ref="F136" authorId="0" shapeId="0" xr:uid="{2D635AC7-EF1B-4BD6-8181-D76CBE232D23}">
      <text>
        <r>
          <rPr>
            <sz val="9"/>
            <color indexed="81"/>
            <rFont val="Tahoma"/>
            <family val="2"/>
          </rPr>
          <t xml:space="preserve">Author:
Per RTL designer, all the synchronizer registers does have the instance name like *hic_dnt_sync_reg*, please double check. 
About how to control the placement, please refer to below guideline.
https://support.cadence.com/apex/ArticleAttachmentPortal?id=a1Od0000000nVNjEAM&amp;pageName=ArticleContent
</t>
        </r>
      </text>
    </comment>
    <comment ref="F138" authorId="0" shapeId="0" xr:uid="{1477A88D-12D4-47C3-BAFA-068743FA117D}">
      <text>
        <r>
          <rPr>
            <b/>
            <sz val="9"/>
            <color indexed="81"/>
            <rFont val="Tahoma"/>
            <family val="2"/>
          </rPr>
          <t>Author:</t>
        </r>
        <r>
          <rPr>
            <sz val="9"/>
            <color indexed="81"/>
            <rFont val="Tahoma"/>
            <family val="2"/>
          </rPr>
          <t xml:space="preserve">
dbGet [dbGet -p2 top.insts.instTerms.net.name VSS].name
dbGet [dbGet -p2 top.insts.instTerms.net.name VDD].name
</t>
        </r>
      </text>
    </comment>
    <comment ref="F163" authorId="0" shapeId="0" xr:uid="{9BDD3F8C-67E4-47C2-B5AC-928C375F888A}">
      <text>
        <r>
          <rPr>
            <sz val="9"/>
            <color indexed="81"/>
            <rFont val="Tahoma"/>
            <family val="2"/>
          </rPr>
          <t xml:space="preserve">Author:
1.Below spec is for all process nodes.
HSPHY (DDRIO is not in DS):   
     - DS use M10 as top metal and use M9 as top routing layer. 
     - Other small slices use M9 as top metal and use M8 as top routing layer.
HPPHY (DDRIO is in DS and DS has Regulator, DDRIO pin is "TOP_METAL-1"):
     - DS use PHY "TOP_Metal" as top metal and use PHY "TOP_Metal - 1" as top routing layer. 
     - Other small slices use M9 as top metal and use M8 as top routing layer.    
HPPHY (DDRIO is in DS and DS has not Regulator, DDRIO pin is "TOP_METAL-1"):
     - DS use PHY "TOP_Metal - 1" as top metal and use PHY "TOP_Metal - 2" as top routing layer. 
     - Other small slices use M9 as top metal and use M8 as top routing layer. </t>
        </r>
      </text>
    </comment>
    <comment ref="F165" authorId="0" shapeId="0" xr:uid="{D51FBA57-8EC7-4F1B-A0C8-B5773DB3D2E0}">
      <text>
        <r>
          <rPr>
            <sz val="9"/>
            <color indexed="81"/>
            <rFont val="Tahoma"/>
            <family val="2"/>
          </rPr>
          <t xml:space="preserve">Author:
Frontend agree to instantiate the correct VT instance for delay element and read entry flops (cdn_hs_phy_hic_rd_entry_dff) in future designs.
Just double check the netlist released from Frontend.
If it is not expected, please double check with them. 
</t>
        </r>
      </text>
    </comment>
    <comment ref="F166" authorId="0" shapeId="0" xr:uid="{988C18A8-D6C9-43DD-96E0-B21934E2A0E6}">
      <text>
        <r>
          <rPr>
            <b/>
            <sz val="9"/>
            <color indexed="81"/>
            <rFont val="Tahoma"/>
            <family val="2"/>
          </rPr>
          <t xml:space="preserve">Author: 2020.Dec.14
• T5GP Blue man/Tachyum/T7G Ampere  : Must check this constraint as the DA cell used in these projects is new DA structure. 
• For other projects, if the stage is close to final and DA cell library will not change, above constraint is not a hard rule. 
• For new projects, please follow the above constraint. 
</t>
        </r>
      </text>
    </comment>
    <comment ref="F170" authorId="0" shapeId="0" xr:uid="{AE0D5AA4-06A0-4959-8340-0FE7474CD21D}">
      <text>
        <r>
          <rPr>
            <b/>
            <sz val="9"/>
            <color indexed="81"/>
            <rFont val="Tahoma"/>
            <family val="2"/>
          </rPr>
          <t>Author:</t>
        </r>
        <r>
          <rPr>
            <sz val="9"/>
            <color indexed="81"/>
            <rFont val="Tahoma"/>
            <family val="2"/>
          </rPr>
          <t xml:space="preserve">
IE/IL QRT skew requirement is very strict, we must take care of that in floorplan stage.
Place output delay element close to DL cell, make the net delay from delay element to DL cell IE/IL pins equal to 0.
Place the mimic cells(two nand gate from delay line output to IL pin of DL cell) close to delay element output and DL cell input pins. 
Pay attention to the IE/IL pin slew difference.</t>
        </r>
      </text>
    </comment>
    <comment ref="F173" authorId="0" shapeId="0" xr:uid="{0CAB5556-759F-4CB0-B9A2-EA27EBFFC331}">
      <text>
        <r>
          <rPr>
            <b/>
            <sz val="9"/>
            <color indexed="81"/>
            <rFont val="Tahoma"/>
            <family val="2"/>
          </rPr>
          <t xml:space="preserve">Author:
</t>
        </r>
        <r>
          <rPr>
            <sz val="9"/>
            <color indexed="81"/>
            <rFont val="Tahoma"/>
            <family val="2"/>
          </rPr>
          <t>AMS team will include the DCC cell and Regulator cell integration guide in delivery package. Please check with AMS team if that's not available.
It's must that review the regulator physical design with AMS team.
Refer to below link:
https://cadence.sharepoint.com/:w:/r/sites/DDRHardIP/_layouts/15/Doc.aspx?sourcedoc=%7B83A82D55-4244-4F77-A575-5D325F3F11EC%7D&amp;file=custom_cells.docx&amp;action=default&amp;mobileredirect=true</t>
        </r>
      </text>
    </comment>
    <comment ref="F174" authorId="0" shapeId="0" xr:uid="{DA2A23A3-9150-4E01-92A9-A24605091634}">
      <text>
        <r>
          <rPr>
            <b/>
            <sz val="9"/>
            <color indexed="81"/>
            <rFont val="Tahoma"/>
            <family val="2"/>
          </rPr>
          <t xml:space="preserve">Author:
</t>
        </r>
        <r>
          <rPr>
            <sz val="9"/>
            <color indexed="81"/>
            <rFont val="Tahoma"/>
            <family val="2"/>
          </rPr>
          <t>Currently there are three senarios, please make sure the XTC INPUT pins are not floating and connected correctly.
1. For some new version DDRIO with XTC_TIELO (signal attribute), RTL will make the connection and PD don't need to change the netlist. PD only need to follow neltist to connection the PINs physically. No LEC issue. 
2. For DDRIO without XTC_TIELO pin, RTL tie the XTC INPUT pins(which need to be tied to VSS) to 1’b0. PD just need to skip the XTC input pins when inserting the tielo cell like below and use the close VSS pin of DDRIO to make the physical connection. No LEC workaround and issue. (RTL will make the change based on 2022Q1)
addTieHiLo -prefix [dbgDesignName]_TIEHILO -excludePin /projects/Fungible_S2_N7_40bits_4800_phy/work/cadence_phy_cdn_hs_phy_top/yangliu/apr/scripts/PNR/Tielow_excludePin.tcl
3.  For the designs which are based on branches before 2022Q1 and DDRIO has not XTC_TIELO pin, RTL either let the XTC INPUT pins floating or hook up two input XTC INPUT pins with one net without driver. PD need to modify the netlist to connect XTC input pins which is floating or has not driver to VSS (AMS team created a “VSS” pin nearby the PAD*_HV_IN_XTC pins for easier connection for DDRIO.)
As we set "set flatten mode -library_pin_verificaiton" and will treat DDRIO as blackbox, so LEC will fail. You can add extra LEC constraint to bypass this false LEC failures like below,
add primary input cdn_hs_phy_asic_pads/*_pad_*/PAD*_HV_IN_XTC -nocut -both
add pin constraints 0 cdn_hs_phy_asic_pads/*_pad_*/PAD*_HV_IN_XTC -both
For this case, need to pay more attention to the "Floating Instance terminals" and "Undriven Net"  in check_design report to make sure the XTC input pins are connected correctly.
4. TC51/TC51A/TC49 removed the XTC crosstalk pins. So TC51 based customer programs will not have this issue.
Refer to below link:
https://cadence.sharepoint.com/:p:/r/sites/DDRHardIP/_layouts/15/Doc.aspx?sourcedoc=%7BFDB73380-FAE3-4B3A-8396-12A1DB319281%7D&amp;file=DDRIO_XTC_Implementation_Guideline.pptx&amp;action=edit&amp;mobileredirect=true</t>
        </r>
      </text>
    </comment>
    <comment ref="F181" authorId="0" shapeId="0" xr:uid="{FFD8BBAF-2A43-4193-8203-1DE173450878}">
      <text>
        <r>
          <rPr>
            <b/>
            <sz val="9"/>
            <color indexed="81"/>
            <rFont val="Tahoma"/>
            <family val="2"/>
          </rPr>
          <t xml:space="preserve">Author: </t>
        </r>
        <r>
          <rPr>
            <sz val="9"/>
            <color indexed="81"/>
            <rFont val="Tahoma"/>
            <family val="2"/>
          </rPr>
          <t xml:space="preserve">
For some version IO, even the IO has VDD_ISO and NSLEEP* signals. But there is no power gating inside DDRIO. So the VDD decap array still need to add to VDD instead of VDD_ISO. 
</t>
        </r>
        <r>
          <rPr>
            <b/>
            <sz val="9"/>
            <color indexed="81"/>
            <rFont val="Tahoma"/>
            <family val="2"/>
          </rPr>
          <t>PLEASE double check the DDRIO datasheet or check with AMS team for this part.</t>
        </r>
        <r>
          <rPr>
            <sz val="9"/>
            <color indexed="81"/>
            <rFont val="Tahoma"/>
            <family val="2"/>
          </rPr>
          <t xml:space="preserve">
</t>
        </r>
      </text>
    </comment>
    <comment ref="F182" authorId="0" shapeId="0" xr:uid="{4560F0CD-D1E7-4E39-9D8B-A5D4FBA848B1}">
      <text>
        <r>
          <rPr>
            <b/>
            <sz val="9"/>
            <color indexed="81"/>
            <rFont val="Tahoma"/>
            <family val="2"/>
          </rPr>
          <t xml:space="preserve">Author:
</t>
        </r>
        <r>
          <rPr>
            <sz val="9"/>
            <color indexed="81"/>
            <rFont val="Tahoma"/>
            <family val="2"/>
          </rPr>
          <t xml:space="preserve">350fF include the bump cap. 
Check in Innovus for example: 
setExtractRCMode -effortLevel signoff
extractRC
report_net_parasitics pad_mem_data[0] -rc_corner rcworst_CCworst_T_125c 
Please check with AMS team if you can not meet the target before you cut PG or other actions which may degrade other specs. For some cases, AMS team may can relax the requirement based on data rate and IO design margin. </t>
        </r>
      </text>
    </comment>
    <comment ref="F184" authorId="0" shapeId="0" xr:uid="{6E940057-845A-42AD-B4B4-CD8144424705}">
      <text>
        <r>
          <rPr>
            <sz val="9"/>
            <color indexed="81"/>
            <rFont val="Tahoma"/>
            <family val="2"/>
          </rPr>
          <t xml:space="preserve">Author:
AMS team naming rule: 
• Gen1 IO: ddr100/ddr200
• Gen2 IO: ddr300/ddr400/ddr500/ddr600/ddr700
• Gen3 IO: ddr800
</t>
        </r>
      </text>
    </comment>
    <comment ref="F185" authorId="0" shapeId="0" xr:uid="{CE88F3E4-424E-407D-9EE5-C5928E4A076A}">
      <text>
        <r>
          <rPr>
            <sz val="9"/>
            <color indexed="81"/>
            <rFont val="Tahoma"/>
            <family val="2"/>
          </rPr>
          <t xml:space="preserve">Author:
VDDQX bump is needed only for LPDDR4X and LPDDR5.For some combo DDRIO (support LPDDR4X/5 and other protocols), if DDR_PHY doesn’t support LPDDR4X or LPDDR5, customers don’t need to assign VDDQX bump and only need to connect VDDQX pin of combo DDRIO to VDDQ bump. 
Please double confirm with IO team. 
Please always and only follow the "Memory Type" information in addendum to decide whether VDDQX bump is needed. If you have any question on addendum, please check with Jeffrey or Shashank. 
For LPDDR5, please assign 1 VDDQX per 2 CS pads. If there are 3~4 CS pads, please assign two VDDQX bumps close to the CS VDDQX IO region. </t>
        </r>
      </text>
    </comment>
    <comment ref="F186" authorId="0" shapeId="0" xr:uid="{44C9CB86-0C64-462B-A78B-74B8A79C293C}">
      <text>
        <r>
          <rPr>
            <sz val="9"/>
            <color indexed="81"/>
            <rFont val="Tahoma"/>
            <family val="2"/>
          </rPr>
          <t>Author:
1. Please double check whether Data Retention feature has "CKE/RST always on enabled" notes in addendum.
2.  If "CKE/RST always on enabled" is specified for Data Retention feature, that means VDDQ of CKE/RST is isolated from the VDDQ of other IOs so that customer side can power off the VDDQ of other IOs and keep VDDQ_AO of CKE/RST IO domain alive in system level for power saving in data_retention mode. Please create VDDQ_AO bump to support the seperated CKE/RST IO region.
3.  CDNS will not allow customer to configure "CKE/RST Always On domain = Enabled" for PHY that utilizes VDDQX. There is no VDDQX_AO senario. Please double check with PM and pre-sales team for any special case.
4. For non-DDR5 designs with CKE/RST always on enabled data retention feature, place the CKE/RST and data_retention pads to isolated VDDQ_AO CKE/RST IO domain.
5. For DDR5 or DDR5 combo with CKE/RST always on enabled feature, place the CS/CKE/RST and data_retention pads to isolated VDDQ_AO CKE/RST IO domain.  
6. For LP5/LP4X with VDDQX power supply, please keep data_retention pad in VDDQ domain but not in CKE/RST VDDQX domain. Please double check with AMS team.</t>
        </r>
      </text>
    </comment>
    <comment ref="F189" authorId="0" shapeId="0" xr:uid="{4C20169D-A241-445C-9D44-CC1FD1ACEBD4}">
      <text>
        <r>
          <rPr>
            <b/>
            <sz val="9"/>
            <color indexed="81"/>
            <rFont val="Tahoma"/>
            <family val="2"/>
          </rPr>
          <t>Author: 
It's better to sent the IO order to IO team to double confirm.</t>
        </r>
        <r>
          <rPr>
            <sz val="9"/>
            <color indexed="81"/>
            <rFont val="Tahoma"/>
            <family val="2"/>
          </rPr>
          <t xml:space="preserve">
</t>
        </r>
        <r>
          <rPr>
            <b/>
            <sz val="9"/>
            <color indexed="81"/>
            <rFont val="Tahoma"/>
            <family val="2"/>
          </rPr>
          <t xml:space="preserve">Must read the DDRIO datasheet as some special implementation guidance is specified in DDRIO datasheet only like ddr800* IO due to PHY implementation guide is a general implementation guide and can't cover all protocols and all IO versions. </t>
        </r>
      </text>
    </comment>
    <comment ref="F193" authorId="0" shapeId="0" xr:uid="{1E9CFB9A-4783-41BB-AB5D-708971BAF103}">
      <text>
        <r>
          <rPr>
            <b/>
            <sz val="9"/>
            <color indexed="81"/>
            <rFont val="Tahoma"/>
            <family val="2"/>
          </rPr>
          <t xml:space="preserve">Author:
For some new IO version, the data_retention function is merged into reset_n pad. Same as what we do for data_retention pad, we must connect the VDD_AO pin of reset_n pad to always on supply.
Please read the IO application notes carefully for this part. </t>
        </r>
      </text>
    </comment>
    <comment ref="F197" authorId="0" shapeId="0" xr:uid="{E2D8DAE5-FC02-4E9C-8F24-4D08F207F1E9}">
      <text>
        <r>
          <rPr>
            <b/>
            <sz val="9"/>
            <color indexed="81"/>
            <rFont val="Tahoma"/>
            <family val="2"/>
          </rPr>
          <t xml:space="preserve">Author:
MCI (Multi-channel interface) feature is in controller addendum. 
Please double check the controller addendum and double check with design team. </t>
        </r>
      </text>
    </comment>
    <comment ref="F198" authorId="0" shapeId="0" xr:uid="{066BDC01-EFFF-4E6B-B57C-FCD2490BF0CD}">
      <text>
        <r>
          <rPr>
            <b/>
            <sz val="9"/>
            <color indexed="81"/>
            <rFont val="Tahoma"/>
            <family val="2"/>
          </rPr>
          <t>Author:</t>
        </r>
        <r>
          <rPr>
            <sz val="9"/>
            <color indexed="81"/>
            <rFont val="Tahoma"/>
            <family val="2"/>
          </rPr>
          <t xml:space="preserve">
If “VDDA of PLL = VDD of PLL = Core voltage”, connect the VDDA/VDD to separated VDD_PLL bump for better CK jitter due to our PHY Core VDD is noisy. (single voltage PLL)
If “VDDA= higher voltage” and “VDD = Core voltage”,  connect VDDA to VDD_PLL bump and connect VDD to core VDD.  (dual voltage PLL)
Pay attention to the PLL Power/Ground resistance. Need to meet the integration guide(include FRACN and DESKEW PLL)</t>
        </r>
      </text>
    </comment>
    <comment ref="F199" authorId="0" shapeId="0" xr:uid="{06A8B584-8641-4888-8C56-3D23C52548C1}">
      <text>
        <r>
          <rPr>
            <sz val="9"/>
            <color indexed="81"/>
            <rFont val="Tahoma"/>
            <family val="2"/>
          </rPr>
          <t>Author:
The decision from the package and design team is to use VDDAPLL_* bump name to provide the high voltage power supply for VDDA pin of all PHYs using dual rail PLL.</t>
        </r>
      </text>
    </comment>
    <comment ref="F201" authorId="0" shapeId="0" xr:uid="{0AE57D8D-A027-43E2-B26D-9FA5B6DE9FE7}">
      <text>
        <r>
          <rPr>
            <sz val="9"/>
            <color indexed="81"/>
            <rFont val="Tahoma"/>
            <family val="2"/>
          </rPr>
          <t xml:space="preserve">Author: 
Please check the implementation details specified in Hard PHY implementation guide. 
</t>
        </r>
      </text>
    </comment>
    <comment ref="F202" authorId="0" shapeId="0" xr:uid="{4908EDCC-619A-4A60-8916-3CED2DFB913B}">
      <text>
        <r>
          <rPr>
            <b/>
            <sz val="9"/>
            <color indexed="81"/>
            <rFont val="Tahoma"/>
            <family val="2"/>
          </rPr>
          <t>Author:</t>
        </r>
        <r>
          <rPr>
            <sz val="9"/>
            <color indexed="81"/>
            <rFont val="Tahoma"/>
            <family val="2"/>
          </rPr>
          <t xml:space="preserve">
Place the cdn_hs_phy*/inst_dfi_dly module close to the DFI interface pins and make sure the DFI interface registers are close to DFI pins in final database. 
Please take care all clocks balancing to the DFI pins except the opcg clock. 
Please double check the below dfi input/output skew report in STA environment rpts directory to make sure the skew is small to let SOC side has the largest setup/hold margin.
cdn_hs_phy_top.dfi_inputs.skew.rpt.ets
cdn_hs_phy_top.dfi_outputs.skew.rpt.ets</t>
        </r>
      </text>
    </comment>
    <comment ref="F204" authorId="0" shapeId="0" xr:uid="{39415348-F926-44E1-AFEA-401F0DB205DE}">
      <text>
        <r>
          <rPr>
            <b/>
            <sz val="9"/>
            <color indexed="81"/>
            <rFont val="Tahoma"/>
            <family val="2"/>
          </rPr>
          <t>Author:
Follow the guidance as below.</t>
        </r>
        <r>
          <rPr>
            <sz val="9"/>
            <color indexed="81"/>
            <rFont val="Tahoma"/>
            <family val="2"/>
          </rPr>
          <t xml:space="preserve">
https://cadence.sharepoint.com/:x:/r/sites/DDRHardIP/_layouts/15/Doc.aspx?sourcedoc=%7B5ABAB142-2B60-4676-928B-18717C8CD51E%7D&amp;file=DDR_PHY_IP_AMS_Integration_and_Signoff_Check_List.V1.2.xlsx&amp;action=default&amp;mobileredirect=true</t>
        </r>
      </text>
    </comment>
    <comment ref="F205" authorId="0" shapeId="0" xr:uid="{0B3A6CDB-A24C-45EE-B67B-83E38616F00E}">
      <text>
        <r>
          <rPr>
            <b/>
            <sz val="9"/>
            <color indexed="81"/>
            <rFont val="Tahoma"/>
            <family val="2"/>
          </rPr>
          <t>Author:</t>
        </r>
        <r>
          <rPr>
            <sz val="9"/>
            <color indexed="81"/>
            <rFont val="Tahoma"/>
            <family val="2"/>
          </rPr>
          <t xml:space="preserve">
Max. data rate :  VDDPLL Extra decap /PLL should be added by PD.
12800Mbps 130pF/PLL min.
11200Mbps 123pF/PLL min.
9600Mbps 115pF/PLL min.
8800Mbps 111pF/PLL min.
8400Mbps 109pF/PLL min.
7200Mbps 104pF/PLL min.
6400Mbps 100pF/PLL min.
6000Mbps 94pF/PLL min.
5600Mbps 88pF/PLL min.
5500Mbps 86pF/PLL min.
5200Mbps 81pF/PLL min.
4800Mbps 75pF/PLL min.
4400Mbps 69pF/PLL min.
4266Mbps 67pF/PLL min.
4000Mbps 63pF/PLL min.
3733Mbps 58pF/PLL min.
3600Mbps 56pF/PLL min.
3200Mbps 50pF/PLL min.
2750Mbps 50pF/PLL min.
2133Mbps 50pF/PLL min.
1600Mbps 50pF/PLL min.
1066Mbps 50pF/PLL min.
55Mbps 50pF/PLL min.
Follow guidance in 
https://cadence.sharepoint.com/:x:/r/sites/DDRHardIP/_layouts/15/Doc.aspx?sourcedoc=%7B5ABAB142-2B60-4676-928B-18717C8CD51E%7D&amp;file=DDR_PHY_IP_AMS_Integration_and_Signoff_Check_List.V1.2.xlsx&amp;action=default&amp;mobileredirect=true</t>
        </r>
      </text>
    </comment>
    <comment ref="F206" authorId="0" shapeId="0" xr:uid="{19592297-7708-4C69-9229-A3F0CF485570}">
      <text>
        <r>
          <rPr>
            <b/>
            <sz val="9"/>
            <color indexed="81"/>
            <rFont val="Tahoma"/>
            <family val="2"/>
          </rPr>
          <t xml:space="preserve">Author:
It's really important that PHY_TOP owner read the phy implementation guide and DDRIO/PLL documents to aviod miss anything important. 
</t>
        </r>
        <r>
          <rPr>
            <sz val="9"/>
            <color indexed="81"/>
            <rFont val="Tahoma"/>
            <family val="2"/>
          </rPr>
          <t>It's impossible that</t>
        </r>
        <r>
          <rPr>
            <b/>
            <sz val="9"/>
            <color indexed="81"/>
            <rFont val="Tahoma"/>
            <family val="2"/>
          </rPr>
          <t xml:space="preserve"> </t>
        </r>
        <r>
          <rPr>
            <sz val="9"/>
            <color indexed="81"/>
            <rFont val="Tahoma"/>
            <family val="2"/>
          </rPr>
          <t xml:space="preserve">PHY implementation guide covers all protocols and all special usage. For example, there are many special IO integration guidelines covered by the DDRIO datasheet like LPDDR5 ddr800 IO. </t>
        </r>
      </text>
    </comment>
    <comment ref="F207" authorId="0" shapeId="0" xr:uid="{4003B14E-E566-4930-81E3-4F5CFAF5E49D}">
      <text>
        <r>
          <rPr>
            <sz val="9"/>
            <color indexed="81"/>
            <rFont val="Tahoma"/>
            <family val="2"/>
          </rPr>
          <t xml:space="preserve">Author:
1. Pay attention that the statement is only for the case using internal data_retention pad.
2. VDD_AO supply pin from SOC side or VDD_AO bump is not needed for external data_retention pad as data_retention signal comes from bump and VDDGONE chain powered by VDDQ or VDDQX.
3. Pay attention to the item "Does customer intend to shutoff PHY VDD externally" in pre2post checklist. 
4. If "power gating" feature is "yes" in addendum, that means PHY VDD can be local shut off by power gating cell controlled by SOC PMU. PHY VDD bumps are still always on. VDD_AO pin of internal data_retention can be connected to PHY always on VDD before power gating cell. Suppose "Does customer intend to shutoff VDD externally" in pre2post checklist is "no" as that is not needed and VDD_AO bump is not needed either. Please double check.
5. If "Does customer intend to shutoff PHY VDD externally = no" and "data_retention = Yes,internal", VDD_AO pin of internal data retention pad needs to be connected to PHY always on VDD.
</t>
        </r>
      </text>
    </comment>
    <comment ref="F208" authorId="0" shapeId="0" xr:uid="{78EC2290-D94C-4D5B-8319-FF8831870FCD}">
      <text>
        <r>
          <rPr>
            <b/>
            <sz val="9"/>
            <color indexed="81"/>
            <rFont val="Tahoma"/>
            <family val="2"/>
          </rPr>
          <t>Author:</t>
        </r>
        <r>
          <rPr>
            <sz val="9"/>
            <color indexed="81"/>
            <rFont val="Tahoma"/>
            <family val="2"/>
          </rPr>
          <t xml:space="preserve">
QC criteria
VDDPLL decap target  &gt;25pF per PLL * (# of PLLs). Must meet the minimum target. Usually total VDDPLL decap &lt;1 nF 
VDD decap target ~ 10nF per 16-bit PHY, +/-30% is ok 
VDDQCK decap target ~ decap/IO target * (# of clock IO cells) , +/-20% is ok
VDDQ decap target ~ decap/IO target * (# of active IO cells) , +/-20% is ok 
VDDQX decap target &gt;5pF per IO * (# of active IO cells). Must meet the minimum target. Usually total VDDQX decap &lt;1 nF </t>
        </r>
      </text>
    </comment>
    <comment ref="F209" authorId="0" shapeId="0" xr:uid="{4FD91D02-2058-4259-BA7B-07AA6EFA3816}">
      <text>
        <r>
          <rPr>
            <sz val="9"/>
            <color indexed="81"/>
            <rFont val="Tahoma"/>
            <family val="2"/>
          </rPr>
          <t xml:space="preserve">Author: 
Based on BRCM's feedback, the scan pins including the slice_scan_* pins need to be interleaved like (top_scan_in[0],top_scan_out[0],top_scan_in[1],top_scan_out[1]……). </t>
        </r>
      </text>
    </comment>
    <comment ref="F210" authorId="0" shapeId="0" xr:uid="{E2859092-90DE-405E-A2C9-BCD322D229B8}">
      <text>
        <r>
          <rPr>
            <b/>
            <sz val="9"/>
            <color indexed="81"/>
            <rFont val="Tahoma"/>
            <family val="2"/>
          </rPr>
          <t>Author:
Follow the guidance as below,
https://cadence.sharepoint.com/sites/DDRHardIP/DDR%20IP%20Development%20Flow/Forms/AllItems.aspx?id=%2Fsites%2FDDRHardIP%2FDDR%20IP%20Development%20Flow%2FProcess%5FMoniter%5FImplementation%5FGuide%2Epdf&amp;parent=%2Fsites%2FDDRHardIP%2FDDR%20IP%20Development%20Flow</t>
        </r>
        <r>
          <rPr>
            <sz val="9"/>
            <color indexed="81"/>
            <rFont val="Tahoma"/>
            <family val="2"/>
          </rPr>
          <t xml:space="preserve">
</t>
        </r>
      </text>
    </comment>
    <comment ref="F216" authorId="0" shapeId="0" xr:uid="{7837B177-ACD4-4AF5-B500-BCE8BAD35056}">
      <text>
        <r>
          <rPr>
            <b/>
            <sz val="9"/>
            <color indexed="81"/>
            <rFont val="Tahoma"/>
            <family val="2"/>
          </rPr>
          <t>Author:</t>
        </r>
        <r>
          <rPr>
            <sz val="9"/>
            <color indexed="81"/>
            <rFont val="Tahoma"/>
            <family val="2"/>
          </rPr>
          <t xml:space="preserve">
GROUP selectChecks "ARC_?"
DRC SELECT CHECK selectChecks
//#Required switches:
#define FULL_CHIP                           // Full chip mode
#define ARC_CHECKS                          "ON"                          // Enable, select, or disable arc checks
</t>
        </r>
      </text>
    </comment>
    <comment ref="F235" authorId="0" shapeId="0" xr:uid="{D2FFF923-37F2-4134-9CB8-66A89B8372C4}">
      <text>
        <r>
          <rPr>
            <b/>
            <sz val="9"/>
            <color indexed="81"/>
            <rFont val="Tahoma"/>
            <family val="2"/>
          </rPr>
          <t>Author:</t>
        </r>
        <r>
          <rPr>
            <sz val="9"/>
            <color indexed="81"/>
            <rFont val="Tahoma"/>
            <family val="2"/>
          </rPr>
          <t xml:space="preserve">
Pay attention to the Quantus tool version used(need to matured than Foundry recommended Quantus version)
TSMC example: /process/tsmcN5/data/g/QRC/15M1X1Xb1Xe1Ya1Yb5Y2Yy2R_SHDMIM_UT/current/Recommended_21.11-s682.txt
SEC example: (EDA TOOL SECTION) /process/sec4/data/lpp/DOCS/Samsung_Foundry_LN04LPP_SFDK_Sign-Off_Document_REV1.01.pdf
INTL example: /process/intl22/data/p1222_29/PDK/pdk224_r0.9_cdns/doc/TOOLVERSIONS</t>
        </r>
      </text>
    </comment>
    <comment ref="F277" authorId="0" shapeId="0" xr:uid="{1538D542-886C-4C14-8914-D9F083ADE03F}">
      <text>
        <r>
          <rPr>
            <b/>
            <sz val="9"/>
            <color indexed="81"/>
            <rFont val="Tahoma"/>
            <family val="2"/>
          </rPr>
          <t xml:space="preserve">Author: 
Double check whether lpe based spice netlist is specified in create_spice_deck.tcl of STA environment and the version is correct. 
Double check with Balbeer whether DCC cell lpe based spice netlist version is correct. 
</t>
        </r>
      </text>
    </comment>
    <comment ref="F299" authorId="0" shapeId="0" xr:uid="{ADEA8A63-AF85-40FF-AC64-A273931C2D74}">
      <text>
        <r>
          <rPr>
            <sz val="9"/>
            <color indexed="81"/>
            <rFont val="Tahoma"/>
            <family val="2"/>
          </rPr>
          <t xml:space="preserve">Author:
Use CDNS wrapper spice model if that is available and that matches to AMS team EMIR environment. 
Use lpe_spice to generate the standard cell library PGV view. 
For example:
set_pg_library_mode \
    -spice_corners        {ir_em} \
    -spice_models         /process/tsmcN12/data/ffc/PDK/current/models/current/ir_em.scs \
</t>
        </r>
      </text>
    </comment>
    <comment ref="F326" authorId="0" shapeId="0" xr:uid="{252E7B90-B874-4F98-A74C-27BF079F00E2}">
      <text>
        <r>
          <rPr>
            <b/>
            <sz val="9"/>
            <color indexed="81"/>
            <rFont val="Tahoma"/>
            <family val="2"/>
          </rPr>
          <t xml:space="preserve">Author:
Can cover VDDR strapes to the Regulator VDDR pins and set the Regulator VDDR strapes center points on Regulator as the VDDR power source points.
Can run dynamic power for VDDR domain to get the total capacitance and confirm that with AMS team. Regulator has load capacitance range requirement. </t>
        </r>
      </text>
    </comment>
    <comment ref="F353" authorId="0" shapeId="0" xr:uid="{7C5CB4B6-741A-4D95-A4CF-9768A58F15FD}">
      <text>
        <r>
          <rPr>
            <sz val="9"/>
            <color indexed="81"/>
            <rFont val="Tahoma"/>
            <family val="2"/>
          </rPr>
          <t xml:space="preserve">Author:
Pay attention to the Below WARN message in lvs.rep.cls report
#####  Run Summary          :   [WARN]  Extraction Warnings (refer to Extraction Report File)
#####                                :   [WARN]  Top Cell Has Extra Pins
#####                                :   [INFO]  ERC Results: Empty
#####                                :   [INFO]  Some Sections Have Been Truncated
#####                                :   [INFO]  Unconnected Corresponding Top Cell Pin(s) Exists
Pay attention to the message in lvs.rep
Use verifyConnectivity in Innovus to double check whether  the net connection is expected.  
Use "-bumpAsPin" option for PHY_TOP defOut command.
</t>
        </r>
      </text>
    </comment>
    <comment ref="F398" authorId="0" shapeId="0" xr:uid="{E22BA3D9-7613-4391-84A2-96F291147431}">
      <text>
        <r>
          <rPr>
            <b/>
            <sz val="9"/>
            <color indexed="81"/>
            <rFont val="Tahoma"/>
            <family val="2"/>
          </rPr>
          <t>Author:</t>
        </r>
        <r>
          <rPr>
            <sz val="9"/>
            <color indexed="81"/>
            <rFont val="Tahoma"/>
            <family val="2"/>
          </rPr>
          <t xml:space="preserve">
When we prepare the PERC database to Mentor. Please ask Mentor to run CNOD check too if CNOD check is needed for some process. </t>
        </r>
      </text>
    </comment>
    <comment ref="F399" authorId="0" shapeId="0" xr:uid="{EC3526AB-707D-43E5-9410-3DA127012E3F}">
      <text>
        <r>
          <rPr>
            <sz val="9"/>
            <color indexed="81"/>
            <rFont val="Tahoma"/>
            <family val="2"/>
          </rPr>
          <t xml:space="preserve">Author:
• For DDR project with only one protocol, set Typical voltage for PERC run. 
   For example, for DDR5 VDDQ(min:1.045V/typical:1.1V/max:1.17V), set voltage as 1.1V.
• For DDR project with more than one protocol, set Maximum Typical voltage for PERC run. 
   For example, for DDR5(VDDQ: min:1.045V/typical:1.1V/max:1.17V)/DDR4(VDDQ : min:1.14V/typical:1.2V/max:1.26V), please set DDR4 VDDQ typical voltage (1.2V) for PERC run.
• For TC with combo feature and combo IO like DDR5(VDDQ: typical 1.1V)/LPDDR5(VDDQ:0.5V or 0.3V) combo,  ESD diode and clamp in DDRIO will be IO device, so still set high voltage (DDR5 VDDQ 1.1V) as the PERC voltage. 
• Similiar practice for LPDDR protocols. Choose the Maximum Typical Voltage.
• For project with ND/OD library set, choose OD typical voltage for PERC run.
</t>
        </r>
      </text>
    </comment>
    <comment ref="F406" authorId="0" shapeId="0" xr:uid="{0D335779-F19D-4466-81CD-4EE66CC81822}">
      <text>
        <r>
          <rPr>
            <b/>
            <sz val="9"/>
            <color indexed="81"/>
            <rFont val="Tahoma"/>
            <family val="2"/>
          </rPr>
          <t>Author: Latest IPTag content synced with Tobing:</t>
        </r>
        <r>
          <rPr>
            <sz val="9"/>
            <color indexed="81"/>
            <rFont val="Tahoma"/>
            <family val="2"/>
          </rPr>
          <t xml:space="preserve">
### Date: 2023/0914
### Example DDR IP tag product name input for TSMC IP Tag writer
### comment start with "#".
### characters after " " (space) will be ignored
H       // DDR PHY Architecture. Fixed width [1], 1 character descriptive code. Codes: G = GDDR PHY, H = HS PHY, L = LP PHY, U = UT PHY, P = Phase PHY (obsolete)
P       // IP Type. Field Type: Fixed width [1], 1 character descriptive code. Codes: P = PHY, I = IO &amp; PLL Only
C       // IO Type Type/Vendor. IO type are differentiated to reflect differences in supported features and pin interface. Fixed width [1]. 1 character descriptive code. Codes: C = Cadence Design Systems, A = Aragio, B = Analog Bits, T = TSMC, S = ST, N = None/Not Applicable
F       // Package Type. Fixed width [1], 1 character descriptive code.  F = flip chip, U = ubump / micro bump, W = wirebond, X = macro does not contain IO bonding structures
S       // PLL Vendor. Fixed width [1], 1 character descriptive code.  S = Silicon Creations (For example, all </t>
        </r>
        <r>
          <rPr>
            <b/>
            <sz val="9"/>
            <color indexed="81"/>
            <rFont val="Tahoma"/>
            <family val="2"/>
          </rPr>
          <t>DDR programs</t>
        </r>
        <r>
          <rPr>
            <sz val="9"/>
            <color indexed="81"/>
            <rFont val="Tahoma"/>
            <family val="2"/>
          </rPr>
          <t xml:space="preserve"> use SC DESKEW PLL), C = Cadence Design Systems (for example,</t>
        </r>
        <r>
          <rPr>
            <b/>
            <sz val="9"/>
            <color indexed="81"/>
            <rFont val="Tahoma"/>
            <family val="2"/>
          </rPr>
          <t xml:space="preserve"> GDDR programs</t>
        </r>
        <r>
          <rPr>
            <sz val="9"/>
            <color indexed="81"/>
            <rFont val="Tahoma"/>
            <family val="2"/>
          </rPr>
          <t xml:space="preserve"> use CDNS DESKEW PLL), N = None/Not Applicable
C       // PHY Source. Fixed width [1], 1 character descriptive code.  C = Custom (for example,</t>
        </r>
        <r>
          <rPr>
            <b/>
            <sz val="9"/>
            <color indexed="81"/>
            <rFont val="Tahoma"/>
            <family val="2"/>
          </rPr>
          <t xml:space="preserve"> DDR programs</t>
        </r>
        <r>
          <rPr>
            <sz val="9"/>
            <color indexed="81"/>
            <rFont val="Tahoma"/>
            <family val="2"/>
          </rPr>
          <t>).  S = Standard predefined OTS (Off the shelf) configuration IP (for example,</t>
        </r>
        <r>
          <rPr>
            <b/>
            <sz val="9"/>
            <color indexed="81"/>
            <rFont val="Tahoma"/>
            <family val="2"/>
          </rPr>
          <t xml:space="preserve"> GDDR/Soundwire</t>
        </r>
        <r>
          <rPr>
            <sz val="9"/>
            <color indexed="81"/>
            <rFont val="Tahoma"/>
            <family val="2"/>
          </rPr>
          <t xml:space="preserve"> programs with only one configuration). 
_       // delimiter between phy type and protocol names
D4D3    // Protocol Code, the DDR protocol(s) supported by the design at the PHY level. Variable width, each protocol listed. Starting from the highest DDR protocol(s) to the lowest, then followed by highest LPDDR protocol(s). Field Contents: 2 or more character code with lookup table that will be common for all IP covered by this standard.  Codes: G6 = GDDR6, D5 = DDR5, D4 = DDR4, D3 = DDR3, L5 = LPDDR5, L4 = LPDDR4, L4X = LPDDR4X, L3 = LPDDR3, for L4&amp; L4X use L4L4X following alphabetical order
_       // delimiter between protocol names and process name
T7G     // Process Name, identifies the foundry and process node. This is a variable width field to accommodate differences between the naming conventions between different foundries.  Because it is a variable width field, a trailing delimiter is needed. Variable width, : n character descriptive code with table to provide clarification. Field Format: NGT, N = Code for foundry name G = Geometry T = Process variant Examples: T28HPM
$       // IP Tag delimiter between product name and configuration name
CTIME   // Release Date Code, Description: Code that uniquely identifies the design based on the date and time the final gds was released.  Considering that a large number of PHY configurations can be generated from the system, the release date code is used to guarantee each customer delivery has a unique code, within one minute granularity.  Field Type: Fixed width [13] Field Contents: Starts with character C, followed by 12 character date code in YYYYMMDDhhmm format, describing the date and time the design was released.  The time is captured in hour and minute in 24 hour format. Example: C202007231200
$       // IP Tag delimiter 
V       // PHY orientation following IO orientation, V = NS PHY, H = EW PHY
$       // IP Tag delimiter 
11M2XA1XD3XE2Y2R // Metal Stack info following foundry metal stack code
End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06" authorId="0" shapeId="0" xr:uid="{A92CC28B-C118-4590-B273-92379DA707C5}">
      <text>
        <r>
          <rPr>
            <sz val="9"/>
            <color indexed="81"/>
            <rFont val="Tahoma"/>
            <family val="2"/>
          </rPr>
          <t xml:space="preserve">Author:
Referenace Setting in Innovus:
set_analysis_view -setup [all_setup_analysis_views] -hold [all_hold_analysis_views] –leakage ${_power_view} -dynamic ${_power_view}
</t>
        </r>
        <r>
          <rPr>
            <b/>
            <sz val="9"/>
            <color indexed="81"/>
            <rFont val="Tahoma"/>
            <family val="2"/>
          </rPr>
          <t>setDesignMode -powerEffort high</t>
        </r>
        <r>
          <rPr>
            <sz val="9"/>
            <color indexed="81"/>
            <rFont val="Tahoma"/>
            <family val="2"/>
          </rPr>
          <t xml:space="preserve">
setDesignMode -propagateActivity true
setOptMode </t>
        </r>
        <r>
          <rPr>
            <b/>
            <sz val="9"/>
            <color indexed="81"/>
            <rFont val="Tahoma"/>
            <family val="2"/>
          </rPr>
          <t xml:space="preserve">-leakageToDynamicRatio 0.2 </t>
        </r>
        <r>
          <rPr>
            <sz val="9"/>
            <color indexed="81"/>
            <rFont val="Tahoma"/>
            <family val="2"/>
          </rPr>
          <t xml:space="preserve">-enableOptLAForPower true </t>
        </r>
        <r>
          <rPr>
            <b/>
            <sz val="9"/>
            <color indexed="81"/>
            <rFont val="Tahoma"/>
            <family val="2"/>
          </rPr>
          <t>-powerEffort high</t>
        </r>
        <r>
          <rPr>
            <sz val="9"/>
            <color indexed="81"/>
            <rFont val="Tahoma"/>
            <family val="2"/>
          </rPr>
          <t xml:space="preserve">
set_default_switching_activity -input_activity 0.15 -clip_activity_to_domain_freq true
setNanoRouteMode -grouteWithPowerDriven true -grouteExpPowerDrivenEffort medium
For the block like DS with 6400Mbps data rate(timing extremely critical), high power effort may impact the timing closure much, you may can set low and that still helps on active power reduction. 
</t>
        </r>
      </text>
    </comment>
    <comment ref="B107" authorId="0" shapeId="0" xr:uid="{83127642-9200-4A3E-B1CE-B10432EFC86F}">
      <text>
        <r>
          <rPr>
            <sz val="9"/>
            <color indexed="81"/>
            <rFont val="Tahoma"/>
            <family val="2"/>
          </rPr>
          <t xml:space="preserve">Author:
Per RTL designer, all the synchronizer registers does have the instance name like *hic_dnt_sync_reg*, please double check. 
About how to control the placement, please refer to below guideline.
https://support.cadence.com/apex/ArticleAttachmentPortal?id=a1Od0000000nVNjEAM&amp;pageName=ArticleContent
</t>
        </r>
      </text>
    </comment>
    <comment ref="B109" authorId="0" shapeId="0" xr:uid="{20B8B0F2-7D9B-45B6-809A-BA3D7CDF08D2}">
      <text>
        <r>
          <rPr>
            <b/>
            <sz val="9"/>
            <color indexed="81"/>
            <rFont val="Tahoma"/>
            <family val="2"/>
          </rPr>
          <t>Author:</t>
        </r>
        <r>
          <rPr>
            <sz val="9"/>
            <color indexed="81"/>
            <rFont val="Tahoma"/>
            <family val="2"/>
          </rPr>
          <t xml:space="preserve">
dbGet [dbGet -p2 top.insts.instTerms.net.name VSS].name
dbGet [dbGet -p2 top.insts.instTerms.net.name VDD].name
</t>
        </r>
      </text>
    </comment>
    <comment ref="B134" authorId="0" shapeId="0" xr:uid="{AE41ED54-D882-47C4-BB61-4B4F615BCB99}">
      <text>
        <r>
          <rPr>
            <sz val="9"/>
            <color indexed="81"/>
            <rFont val="Tahoma"/>
            <family val="2"/>
          </rPr>
          <t xml:space="preserve">Author:
1.Below spec is for all process nodes.
HSPHY (DDRIO is not in DS):   
     - DS use M10 as top metal and use M9 as top routing layer. 
     - Other small slices use M9 as top metal and use M8 as top routing layer.
HPPHY (DDRIO is in DS and DS has Regulator, DDRIO pin is "TOP_METAL-1"):
     - DS use PHY "TOP_Metal" as top metal and use PHY "TOP_Metal - 1" as top routing layer. 
     - Other small slices use M9 as top metal and use M8 as top routing layer.    
HPPHY (DDRIO is in DS and DS has not Regulator, DDRIO pin is "TOP_METAL-1"):
     - DS use PHY "TOP_Metal - 1" as top metal and use PHY "TOP_Metal - 2" as top routing layer. 
     - Other small slices use M9 as top metal and use M8 as top routing layer. </t>
        </r>
      </text>
    </comment>
    <comment ref="B136" authorId="0" shapeId="0" xr:uid="{F09F630E-20A2-47B8-8D5E-55DA58E4EF16}">
      <text>
        <r>
          <rPr>
            <sz val="9"/>
            <color indexed="81"/>
            <rFont val="Tahoma"/>
            <family val="2"/>
          </rPr>
          <t xml:space="preserve">Author:
Frontend agree to instantiate the correct VT instance for delay element and read entry flops (cdn_hs_phy_hic_rd_entry_dff) in future designs.
Just double check the netlist released from Frontend.
If it is not expected, please double check with them. 
</t>
        </r>
      </text>
    </comment>
    <comment ref="B137" authorId="0" shapeId="0" xr:uid="{38B7D93E-B2EA-42C9-A6CD-CCD2A402CCA1}">
      <text>
        <r>
          <rPr>
            <b/>
            <sz val="9"/>
            <color indexed="81"/>
            <rFont val="Tahoma"/>
            <family val="2"/>
          </rPr>
          <t xml:space="preserve">Author: 2020.Dec.14
• T5GP Blue man/Tachyum/T7G Ampere  : Must check this constraint as the DA cell used in these projects is new DA structure. 
• For other projects, if the stage is close to final and DA cell library will not change, above constraint is not a hard rule. 
• For new projects, please follow the above constraint. 
</t>
        </r>
      </text>
    </comment>
    <comment ref="B141" authorId="0" shapeId="0" xr:uid="{88A06C36-1913-423D-83A3-905361E4E5FC}">
      <text>
        <r>
          <rPr>
            <b/>
            <sz val="9"/>
            <color indexed="81"/>
            <rFont val="Tahoma"/>
            <family val="2"/>
          </rPr>
          <t>Author:</t>
        </r>
        <r>
          <rPr>
            <sz val="9"/>
            <color indexed="81"/>
            <rFont val="Tahoma"/>
            <family val="2"/>
          </rPr>
          <t xml:space="preserve">
IE/IL QRT skew requirement is very strict, we must take care of that in floorplan stage.
Place output delay element close to DL cell, make the net delay from delay element to DL cell IE/IL pins equal to 0.
Place the mimic cells(two nand gate from delay line output to IL pin of DL cell) close to delay element output and DL cell input pins. 
Pay attention to the IE/IL pin slew difference.</t>
        </r>
      </text>
    </comment>
    <comment ref="B144" authorId="0" shapeId="0" xr:uid="{90A02CAF-C15A-4F51-BC62-7B1771A9DBA3}">
      <text>
        <r>
          <rPr>
            <b/>
            <sz val="9"/>
            <color indexed="81"/>
            <rFont val="Tahoma"/>
            <family val="2"/>
          </rPr>
          <t xml:space="preserve">Author:
</t>
        </r>
        <r>
          <rPr>
            <sz val="9"/>
            <color indexed="81"/>
            <rFont val="Tahoma"/>
            <family val="2"/>
          </rPr>
          <t>AMS team will include the DCC cell and Regulator cell integration guide in delivery package. Please check with AMS team if that's not available.
It's must that review the regulator physical design with AMS team.
Refer to below link:
https://cadence.sharepoint.com/:w:/r/sites/DDRHardIP/_layouts/15/Doc.aspx?sourcedoc=%7B83A82D55-4244-4F77-A575-5D325F3F11EC%7D&amp;file=custom_cells.docx&amp;action=default&amp;mobileredirect=true</t>
        </r>
      </text>
    </comment>
    <comment ref="B145" authorId="0" shapeId="0" xr:uid="{85773B73-87C2-432C-B7AE-17CE22D19AA5}">
      <text>
        <r>
          <rPr>
            <b/>
            <sz val="9"/>
            <color indexed="81"/>
            <rFont val="Tahoma"/>
            <family val="2"/>
          </rPr>
          <t xml:space="preserve">Author:
</t>
        </r>
        <r>
          <rPr>
            <sz val="9"/>
            <color indexed="81"/>
            <rFont val="Tahoma"/>
            <family val="2"/>
          </rPr>
          <t>Currently there are three senarios, please make sure the XTC INPUT pins are not floating and connected correctly.
1. For some new version DDRIO with XTC_TIELO (signal attribute), RTL will make the connection and PD don't need to change the netlist. PD only need to follow neltist to connection the PINs physically. No LEC issue. 
2. For DDRIO without XTC_TIELO pin, RTL tie the XTC INPUT pins(which need to be tied to VSS) to 1’b0. PD just need to skip the XTC input pins when inserting the tielo cell like below and use the close VSS pin of DDRIO to make the physical connection. No LEC workaround and issue. (RTL will make the change based on 2022Q1)
addTieHiLo -prefix [dbgDesignName]_TIEHILO -excludePin /projects/Fungible_S2_N7_40bits_4800_phy/work/cadence_phy_cdn_hs_phy_top/yangliu/apr/scripts/PNR/Tielow_excludePin.tcl
3.  For the designs which are based on branches before 2022Q1 and DDRIO has not XTC_TIELO pin, RTL either let the XTC INPUT pins floating or hook up two input XTC INPUT pins with one net without driver. PD need to modify the netlist to connect XTC input pins which is floating or has not driver to VSS (AMS team created a “VSS” pin nearby the PAD*_HV_IN_XTC pins for easier connection for DDRIO.)
As we set "set flatten mode -library_pin_verificaiton" and will treat DDRIO as blackbox, so LEC will fail. You can add extra LEC constraint to bypass this false LEC failures like below,
add primary input cdn_hs_phy_asic_pads/*_pad_*/PAD*_HV_IN_XTC -nocut -both
add pin constraints 0 cdn_hs_phy_asic_pads/*_pad_*/PAD*_HV_IN_XTC -both
For this case, need to pay more attention to the "Floating Instance terminals" and "Undriven Net"  in check_design report to make sure the XTC input pins are connected correctly.
4. TC51/TC51A/TC49 removed the XTC crosstalk pins. So TC51 based customer programs will not have this issue.
Refer to below link:
https://cadence.sharepoint.com/:p:/r/sites/DDRHardIP/_layouts/15/Doc.aspx?sourcedoc=%7BFDB73380-FAE3-4B3A-8396-12A1DB319281%7D&amp;file=DDRIO_XTC_Implementation_Guideline.pptx&amp;action=edit&amp;mobileredirect=true</t>
        </r>
      </text>
    </comment>
    <comment ref="B152" authorId="0" shapeId="0" xr:uid="{FC451B33-803B-4265-9115-C73D0A1D3788}">
      <text>
        <r>
          <rPr>
            <b/>
            <sz val="9"/>
            <color indexed="81"/>
            <rFont val="Tahoma"/>
            <family val="2"/>
          </rPr>
          <t xml:space="preserve">Author: </t>
        </r>
        <r>
          <rPr>
            <sz val="9"/>
            <color indexed="81"/>
            <rFont val="Tahoma"/>
            <family val="2"/>
          </rPr>
          <t xml:space="preserve">
For some version IO, even the IO has VDD_ISO and NSLEEP* signals. But there is no power gating inside DDRIO. So the VDD decap array still need to add to VDD instead of VDD_ISO. 
</t>
        </r>
        <r>
          <rPr>
            <b/>
            <sz val="9"/>
            <color indexed="81"/>
            <rFont val="Tahoma"/>
            <family val="2"/>
          </rPr>
          <t>PLEASE double check the DDRIO datasheet or check with AMS team for this part.</t>
        </r>
        <r>
          <rPr>
            <sz val="9"/>
            <color indexed="81"/>
            <rFont val="Tahoma"/>
            <family val="2"/>
          </rPr>
          <t xml:space="preserve">
</t>
        </r>
      </text>
    </comment>
    <comment ref="B153" authorId="0" shapeId="0" xr:uid="{BACA36F6-864A-4A1B-8BAA-44CFEDE4E640}">
      <text>
        <r>
          <rPr>
            <b/>
            <sz val="9"/>
            <color indexed="81"/>
            <rFont val="Tahoma"/>
            <family val="2"/>
          </rPr>
          <t xml:space="preserve">Author:
</t>
        </r>
        <r>
          <rPr>
            <sz val="9"/>
            <color indexed="81"/>
            <rFont val="Tahoma"/>
            <family val="2"/>
          </rPr>
          <t xml:space="preserve">350fF include the bump cap. 
Check in Innovus for example: 
setExtractRCMode -effortLevel signoff
extractRC
report_net_parasitics pad_mem_data[0] -rc_corner rcworst_CCworst_T_125c 
Please check with AMS team if you can not meet the target before you cut PG or other actions which may degrade other specs. For some cases, AMS team may can relax the requirement based on data rate and IO design margin. </t>
        </r>
      </text>
    </comment>
    <comment ref="B155" authorId="0" shapeId="0" xr:uid="{EEAC35A7-C788-4204-B064-7D8BC2AF715A}">
      <text>
        <r>
          <rPr>
            <sz val="9"/>
            <color indexed="81"/>
            <rFont val="Tahoma"/>
            <family val="2"/>
          </rPr>
          <t xml:space="preserve">Author:
AMS team naming rule: 
• Gen1 IO: ddr100/ddr200
• Gen2 IO: ddr300/ddr400/ddr500/ddr600/ddr700
• Gen3 IO: ddr800
</t>
        </r>
      </text>
    </comment>
    <comment ref="B156" authorId="0" shapeId="0" xr:uid="{C0696000-33F3-4DD3-B032-5D595C02B6FB}">
      <text>
        <r>
          <rPr>
            <sz val="9"/>
            <color indexed="81"/>
            <rFont val="Tahoma"/>
            <family val="2"/>
          </rPr>
          <t xml:space="preserve">Author:
VDDQX bump is needed only for LPDDR4X and LPDDR5.For some combo DDRIO (support LPDDR4X/5 and other protocols), if DDR_PHY doesn’t support LPDDR4X or LPDDR5, customers don’t need to assign VDDQX bump and only need to connect VDDQX pin of combo DDRIO to VDDQ bump. 
Please double confirm with IO team. 
Please always and only follow the "Memory Type" information in addendum to decide whether VDDQX bump is needed. If you have any question on addendum, please check with Jeffrey or Shashank. 
For LPDDR5, please assign 1 VDDQX per 2 CS pads. If there are 3~4 CS pads, please assign two VDDQX bumps close to the CS VDDQX IO region. </t>
        </r>
      </text>
    </comment>
    <comment ref="B157" authorId="0" shapeId="0" xr:uid="{9F8FB431-3F4D-422B-AF63-431B461D7234}">
      <text>
        <r>
          <rPr>
            <sz val="9"/>
            <color indexed="81"/>
            <rFont val="Tahoma"/>
            <family val="2"/>
          </rPr>
          <t>Author:
1. Please double check whether Data Retention feature has "CKE/RST always on enabled" notes in addendum.
2.  If "CKE/RST always on enabled" is specified for Data Retention feature, that means VDDQ of CKE/RST is isolated from the VDDQ of other IOs so that customer side can power off the VDDQ of other IOs and keep VDDQ_AO of CKE/RST IO domain alive in system level for power saving in data_retention mode. Please create VDDQ_AO bump to support the seperated CKE/RST IO region.
3.  CDNS will not allow customer to configure "CKE/RST Always On domain = Enabled" for PHY that utilizes VDDQX. There is no VDDQX_AO senario. Please double check with PM and pre-sales team for any special case.
4. For non-DDR5 designs with CKE/RST always on enabled data retention feature, place the CKE/RST and data_retention pads to isolated VDDQ_AO CKE/RST IO domain.
5. For DDR5 or DDR5 combo with CKE/RST always on enabled feature, place the CS/CKE/RST and data_retention pads to isolated VDDQ_AO CKE/RST IO domain.  
6. For LP5/LP4X with VDDQX power supply, please keep data_retention pad in VDDQ domain but not in CKE/RST VDDQX domain. Please double check with AMS team.</t>
        </r>
      </text>
    </comment>
    <comment ref="B160" authorId="0" shapeId="0" xr:uid="{91875B88-41A1-4113-B0A5-7267DBD45B9A}">
      <text>
        <r>
          <rPr>
            <b/>
            <sz val="9"/>
            <color indexed="81"/>
            <rFont val="Tahoma"/>
            <family val="2"/>
          </rPr>
          <t>Author: 
It's better to sent the IO order to IO team to double confirm.</t>
        </r>
        <r>
          <rPr>
            <sz val="9"/>
            <color indexed="81"/>
            <rFont val="Tahoma"/>
            <family val="2"/>
          </rPr>
          <t xml:space="preserve">
</t>
        </r>
        <r>
          <rPr>
            <b/>
            <sz val="9"/>
            <color indexed="81"/>
            <rFont val="Tahoma"/>
            <family val="2"/>
          </rPr>
          <t xml:space="preserve">Must read the DDRIO datasheet as some special implementation guidance is specified in DDRIO datasheet only like ddr800* IO due to PHY implementation guide is a general implementation guide and can't cover all protocols and all IO versions. </t>
        </r>
      </text>
    </comment>
    <comment ref="B164" authorId="0" shapeId="0" xr:uid="{97C1EF78-B76E-419D-A4A2-B499E43FA56A}">
      <text>
        <r>
          <rPr>
            <b/>
            <sz val="9"/>
            <color indexed="81"/>
            <rFont val="Tahoma"/>
            <family val="2"/>
          </rPr>
          <t xml:space="preserve">Author:
For some new IO version, the data_retention function is merged into reset_n pad. Same as what we do for data_retention pad, we must connect the VDD_AO pin of reset_n pad to always on supply.
Please read the IO application notes carefully for this part. </t>
        </r>
      </text>
    </comment>
    <comment ref="B168" authorId="0" shapeId="0" xr:uid="{D8AD306A-4BEE-4DA1-8B8B-3277481CADEA}">
      <text>
        <r>
          <rPr>
            <b/>
            <sz val="9"/>
            <color indexed="81"/>
            <rFont val="Tahoma"/>
            <family val="2"/>
          </rPr>
          <t xml:space="preserve">Author:
MCI (Multi-channel interface) feature is in controller addendum. 
Please double check the controller addendum and double check with design team. </t>
        </r>
      </text>
    </comment>
    <comment ref="B169" authorId="0" shapeId="0" xr:uid="{49A8A53C-0596-4C00-831F-EB64C3773CB6}">
      <text>
        <r>
          <rPr>
            <b/>
            <sz val="9"/>
            <color indexed="81"/>
            <rFont val="Tahoma"/>
            <family val="2"/>
          </rPr>
          <t>Author:</t>
        </r>
        <r>
          <rPr>
            <sz val="9"/>
            <color indexed="81"/>
            <rFont val="Tahoma"/>
            <family val="2"/>
          </rPr>
          <t xml:space="preserve">
If “VDDA of PLL = VDD of PLL = Core voltage”, connect the VDDA/VDD to separated VDD_PLL bump for better CK jitter due to our PHY Core VDD is noisy. (single voltage PLL)
If “VDDA= higher voltage” and “VDD = Core voltage”,  connect VDDA to VDD_PLL bump and connect VDD to core VDD.  (dual voltage PLL)
Pay attention to the PLL Power/Ground resistance. Need to meet the integration guide(include FRACN and DESKEW PLL)</t>
        </r>
      </text>
    </comment>
    <comment ref="B170" authorId="0" shapeId="0" xr:uid="{DC1C86AA-F3CB-433F-9188-39BF4DF055A2}">
      <text>
        <r>
          <rPr>
            <sz val="9"/>
            <color indexed="81"/>
            <rFont val="Tahoma"/>
            <family val="2"/>
          </rPr>
          <t>Author:
The decision from the package and design team is to use VDDAPLL_* bump name to provide the high voltage power supply for VDDA pin of all PHYs using dual rail PLL.</t>
        </r>
      </text>
    </comment>
    <comment ref="B172" authorId="0" shapeId="0" xr:uid="{6B30BA57-DF94-46D3-887D-37825E7F0BAD}">
      <text>
        <r>
          <rPr>
            <sz val="9"/>
            <color indexed="81"/>
            <rFont val="Tahoma"/>
            <family val="2"/>
          </rPr>
          <t xml:space="preserve">Author: 
Please check the implementation details specified in Hard PHY implementation guide. 
</t>
        </r>
      </text>
    </comment>
    <comment ref="B173" authorId="0" shapeId="0" xr:uid="{86DA8B2D-5979-4D9D-A99F-F84971FC07F1}">
      <text>
        <r>
          <rPr>
            <b/>
            <sz val="9"/>
            <color indexed="81"/>
            <rFont val="Tahoma"/>
            <family val="2"/>
          </rPr>
          <t>Author:</t>
        </r>
        <r>
          <rPr>
            <sz val="9"/>
            <color indexed="81"/>
            <rFont val="Tahoma"/>
            <family val="2"/>
          </rPr>
          <t xml:space="preserve">
Place the cdn_hs_phy*/inst_dfi_dly module close to the DFI interface pins and make sure the DFI interface registers are close to DFI pins in final database. 
Please take care all clocks balancing to the DFI pins except the opcg clock. 
Please double check the below dfi input/output skew report in STA environment rpts directory to make sure the skew is small to let SOC side has the largest setup/hold margin.
cdn_hs_phy_top.dfi_inputs.skew.rpt.ets
cdn_hs_phy_top.dfi_outputs.skew.rpt.ets</t>
        </r>
      </text>
    </comment>
    <comment ref="B175" authorId="0" shapeId="0" xr:uid="{D18FCC52-8C0F-4889-B039-5ACFA003DFC2}">
      <text>
        <r>
          <rPr>
            <b/>
            <sz val="9"/>
            <color indexed="81"/>
            <rFont val="Tahoma"/>
            <family val="2"/>
          </rPr>
          <t>Author:
Follow the guidance as below.</t>
        </r>
        <r>
          <rPr>
            <sz val="9"/>
            <color indexed="81"/>
            <rFont val="Tahoma"/>
            <family val="2"/>
          </rPr>
          <t xml:space="preserve">
https://cadence.sharepoint.com/:x:/r/sites/DDRHardIP/_layouts/15/Doc.aspx?sourcedoc=%7B5ABAB142-2B60-4676-928B-18717C8CD51E%7D&amp;file=DDR_PHY_IP_AMS_Integration_and_Signoff_Check_List.V1.2.xlsx&amp;action=default&amp;mobileredirect=true</t>
        </r>
      </text>
    </comment>
    <comment ref="B176" authorId="0" shapeId="0" xr:uid="{C2BF50D9-5FF0-46CC-AE2E-F7FA8B5E4EE6}">
      <text>
        <r>
          <rPr>
            <b/>
            <sz val="9"/>
            <color indexed="81"/>
            <rFont val="Tahoma"/>
            <family val="2"/>
          </rPr>
          <t>Author:</t>
        </r>
        <r>
          <rPr>
            <sz val="9"/>
            <color indexed="81"/>
            <rFont val="Tahoma"/>
            <family val="2"/>
          </rPr>
          <t xml:space="preserve">
Max. data rate :  VDDPLL Extra decap /PLL should be added by PD.
12800Mbps 130pF/PLL min.
11200Mbps 123pF/PLL min.
9600Mbps 115pF/PLL min.
8800Mbps 111pF/PLL min.
8400Mbps 109pF/PLL min.
7200Mbps 104pF/PLL min.
6400Mbps 100pF/PLL min.
6000Mbps 94pF/PLL min.
5600Mbps 88pF/PLL min.
5500Mbps 86pF/PLL min.
5200Mbps 81pF/PLL min.
4800Mbps 75pF/PLL min.
4400Mbps 69pF/PLL min.
4266Mbps 67pF/PLL min.
4000Mbps 63pF/PLL min.
3733Mbps 58pF/PLL min.
3600Mbps 56pF/PLL min.
3200Mbps 50pF/PLL min.
2750Mbps 50pF/PLL min.
2133Mbps 50pF/PLL min.
1600Mbps 50pF/PLL min.
1066Mbps 50pF/PLL min.
55Mbps 50pF/PLL min.
Follow guidance in 
https://cadence.sharepoint.com/:x:/r/sites/DDRHardIP/_layouts/15/Doc.aspx?sourcedoc=%7B5ABAB142-2B60-4676-928B-18717C8CD51E%7D&amp;file=DDR_PHY_IP_AMS_Integration_and_Signoff_Check_List.V1.2.xlsx&amp;action=default&amp;mobileredirect=true</t>
        </r>
      </text>
    </comment>
    <comment ref="B177" authorId="0" shapeId="0" xr:uid="{8D8186C8-53A1-443B-BB3E-5D56E9CD5533}">
      <text>
        <r>
          <rPr>
            <b/>
            <sz val="9"/>
            <color indexed="81"/>
            <rFont val="Tahoma"/>
            <family val="2"/>
          </rPr>
          <t xml:space="preserve">Author:
It's really important that PHY_TOP owner read the phy implementation guide and DDRIO/PLL documents to aviod miss anything important. 
</t>
        </r>
        <r>
          <rPr>
            <sz val="9"/>
            <color indexed="81"/>
            <rFont val="Tahoma"/>
            <family val="2"/>
          </rPr>
          <t>It's impossible that</t>
        </r>
        <r>
          <rPr>
            <b/>
            <sz val="9"/>
            <color indexed="81"/>
            <rFont val="Tahoma"/>
            <family val="2"/>
          </rPr>
          <t xml:space="preserve"> </t>
        </r>
        <r>
          <rPr>
            <sz val="9"/>
            <color indexed="81"/>
            <rFont val="Tahoma"/>
            <family val="2"/>
          </rPr>
          <t xml:space="preserve">PHY implementation guide covers all protocols and all special usage. For example, there are many special IO integration guidelines covered by the DDRIO datasheet like LPDDR5 ddr800 IO. </t>
        </r>
      </text>
    </comment>
    <comment ref="B178" authorId="0" shapeId="0" xr:uid="{F716A0B2-D9BF-4C84-A2EA-F027B93F9511}">
      <text>
        <r>
          <rPr>
            <sz val="9"/>
            <color indexed="81"/>
            <rFont val="Tahoma"/>
            <family val="2"/>
          </rPr>
          <t xml:space="preserve">Author:
1. Pay attention that the statement is only for the case using internal data_retention pad.
2. VDD_AO supply pin from SOC side or VDD_AO bump is not needed for external data_retention pad as data_retention signal comes from bump and VDDGONE chain powered by VDDQ or VDDQX.
3. Pay attention to the item "Does customer intend to shutoff PHY VDD externally" in pre2post checklist. 
4. If "power gating" feature is "yes" in addendum, that means PHY VDD can be local shut off by power gating cell controlled by SOC PMU. PHY VDD bumps are still always on. VDD_AO pin of internal data_retention can be connected to PHY always on VDD before power gating cell. Suppose "Does customer intend to shutoff VDD externally" in pre2post checklist is "no" as that is not needed and VDD_AO bump is not needed either. Please double check.
5. If "Does customer intend to shutoff PHY VDD externally = no" and "data_retention = Yes,internal", VDD_AO pin of internal data retention pad needs to be connected to PHY always on VDD.
</t>
        </r>
      </text>
    </comment>
    <comment ref="B179" authorId="0" shapeId="0" xr:uid="{3E8ED833-A8DD-48F3-BF4B-498BB5D409A0}">
      <text>
        <r>
          <rPr>
            <b/>
            <sz val="9"/>
            <color indexed="81"/>
            <rFont val="Tahoma"/>
            <family val="2"/>
          </rPr>
          <t>Author:</t>
        </r>
        <r>
          <rPr>
            <sz val="9"/>
            <color indexed="81"/>
            <rFont val="Tahoma"/>
            <family val="2"/>
          </rPr>
          <t xml:space="preserve">
QC criteria
VDDPLL decap target  &gt;25pF per PLL * (# of PLLs). Must meet the minimum target. Usually total VDDPLL decap &lt;1 nF 
VDD decap target ~ 10nF per 16-bit PHY, +/-30% is ok 
VDDQCK decap target ~ decap/IO target * (# of clock IO cells) , +/-20% is ok
VDDQ decap target ~ decap/IO target * (# of active IO cells) , +/-20% is ok 
VDDQX decap target &gt;5pF per IO * (# of active IO cells). Must meet the minimum target. Usually total VDDQX decap &lt;1 nF </t>
        </r>
      </text>
    </comment>
    <comment ref="B180" authorId="0" shapeId="0" xr:uid="{2DD41651-1AE8-4419-9317-39D9DA69C3A1}">
      <text>
        <r>
          <rPr>
            <sz val="9"/>
            <color indexed="81"/>
            <rFont val="Tahoma"/>
            <family val="2"/>
          </rPr>
          <t xml:space="preserve">Author: 
Based on BRCM's feedback, the scan pins including the slice_scan_* pins need to be interleaved like (top_scan_in[0],top_scan_out[0],top_scan_in[1],top_scan_out[1]……). </t>
        </r>
      </text>
    </comment>
    <comment ref="B181" authorId="0" shapeId="0" xr:uid="{7952FF42-1F0B-497E-A3D4-55B300D6C8A9}">
      <text>
        <r>
          <rPr>
            <b/>
            <sz val="9"/>
            <color indexed="81"/>
            <rFont val="Tahoma"/>
            <family val="2"/>
          </rPr>
          <t>Author:
Follow the guidance as below,
https://cadence.sharepoint.com/sites/DDRHardIP/DDR%20IP%20Development%20Flow/Forms/AllItems.aspx?id=%2Fsites%2FDDRHardIP%2FDDR%20IP%20Development%20Flow%2FProcess%5FMoniter%5FImplementation%5FGuide%2Epdf&amp;parent=%2Fsites%2FDDRHardIP%2FDDR%20IP%20Development%20Flow</t>
        </r>
        <r>
          <rPr>
            <sz val="9"/>
            <color indexed="81"/>
            <rFont val="Tahoma"/>
            <family val="2"/>
          </rPr>
          <t xml:space="preserve">
</t>
        </r>
      </text>
    </comment>
    <comment ref="B187" authorId="0" shapeId="0" xr:uid="{AAA9DBC2-61C1-41EC-8C01-EA02244CFF6D}">
      <text>
        <r>
          <rPr>
            <b/>
            <sz val="9"/>
            <color indexed="81"/>
            <rFont val="Tahoma"/>
            <family val="2"/>
          </rPr>
          <t>Author:</t>
        </r>
        <r>
          <rPr>
            <sz val="9"/>
            <color indexed="81"/>
            <rFont val="Tahoma"/>
            <family val="2"/>
          </rPr>
          <t xml:space="preserve">
GROUP selectChecks "ARC_?"
DRC SELECT CHECK selectChecks
//#Required switches:
#define FULL_CHIP                           // Full chip mode
#define ARC_CHECKS                          "ON"                          // Enable, select, or disable arc checks
</t>
        </r>
      </text>
    </comment>
    <comment ref="B206" authorId="0" shapeId="0" xr:uid="{C5C1F3DF-74F2-4DD0-9138-AE32CEDD310D}">
      <text>
        <r>
          <rPr>
            <b/>
            <sz val="9"/>
            <color indexed="81"/>
            <rFont val="Tahoma"/>
            <family val="2"/>
          </rPr>
          <t>Author:</t>
        </r>
        <r>
          <rPr>
            <sz val="9"/>
            <color indexed="81"/>
            <rFont val="Tahoma"/>
            <family val="2"/>
          </rPr>
          <t xml:space="preserve">
Pay attention to the Quantus tool version used(need to matured than Foundry recommended Quantus version)
TSMC example: /process/tsmcN5/data/g/QRC/15M1X1Xb1Xe1Ya1Yb5Y2Yy2R_SHDMIM_UT/current/Recommended_21.11-s682.txt
SEC example: (EDA TOOL SECTION) /process/sec4/data/lpp/DOCS/Samsung_Foundry_LN04LPP_SFDK_Sign-Off_Document_REV1.01.pdf
INTL example: /process/intl22/data/p1222_29/PDK/pdk224_r0.9_cdns/doc/TOOLVERSIONS</t>
        </r>
      </text>
    </comment>
    <comment ref="B248" authorId="0" shapeId="0" xr:uid="{6E8B1BF7-4E7F-4B60-A14B-547AE8FDEAE1}">
      <text>
        <r>
          <rPr>
            <sz val="11"/>
            <color theme="1"/>
            <rFont val="Calibri"/>
            <family val="2"/>
            <scheme val="minor"/>
          </rPr>
          <t xml:space="preserve">Author: 
Double check whether lpe based spice netlist is specified in create_spice_deck.tcl of STA environment and the version is correct. 
Double check with Balbeer whether DCC cell lpe based spice netlist version is correct. 
</t>
        </r>
      </text>
    </comment>
    <comment ref="B268" authorId="0" shapeId="0" xr:uid="{482E02D5-51A1-4FB4-AAAB-D3D7F7C078C2}">
      <text>
        <r>
          <rPr>
            <sz val="9"/>
            <color indexed="81"/>
            <rFont val="Tahoma"/>
            <family val="2"/>
          </rPr>
          <t xml:space="preserve">Author:
Use CDNS wrapper spice model if that is available and that matches to AMS team EMIR environment. 
Use lpe_spice to generate the standard cell library PGV view. 
For example:
set_pg_library_mode \
    -spice_corners        {ir_em} \
    -spice_models         /process/tsmcN12/data/ffc/PDK/current/models/current/ir_em.scs \
</t>
        </r>
      </text>
    </comment>
    <comment ref="B295" authorId="0" shapeId="0" xr:uid="{3BADFFCE-112D-49BB-BF60-2DBC4F30D61C}">
      <text>
        <r>
          <rPr>
            <b/>
            <sz val="9"/>
            <color indexed="81"/>
            <rFont val="Tahoma"/>
            <family val="2"/>
          </rPr>
          <t xml:space="preserve">Author:
Can cover VDDR strapes to the Regulator VDDR pins and set the Regulator VDDR strapes center points on Regulator as the VDDR power source points.
Can run dynamic power for VDDR domain to get the total capacitance and confirm that with AMS team. Regulator has load capacitance range requirement. </t>
        </r>
      </text>
    </comment>
    <comment ref="B322" authorId="0" shapeId="0" xr:uid="{1AE4CB19-30CB-449B-B2A2-6BD73526B2B0}">
      <text>
        <r>
          <rPr>
            <sz val="9"/>
            <color indexed="81"/>
            <rFont val="Tahoma"/>
            <family val="2"/>
          </rPr>
          <t xml:space="preserve">Author:
Pay attention to the Below WARN message in lvs.rep.cls report
#####  Run Summary          :   [WARN]  Extraction Warnings (refer to Extraction Report File)
#####                                :   [WARN]  Top Cell Has Extra Pins
#####                                :   [INFO]  ERC Results: Empty
#####                                :   [INFO]  Some Sections Have Been Truncated
#####                                :   [INFO]  Unconnected Corresponding Top Cell Pin(s) Exists
Pay attention to the message in lvs.rep
Use verifyConnectivity in Innovus to double check whether  the net connection is expected.  
Use "-bumpAsPin" option for PHY_TOP defOut command.
</t>
        </r>
      </text>
    </comment>
    <comment ref="B367" authorId="0" shapeId="0" xr:uid="{9BD2F4F9-B85A-45E6-8A14-682C29B8A918}">
      <text>
        <r>
          <rPr>
            <b/>
            <sz val="9"/>
            <color indexed="81"/>
            <rFont val="Tahoma"/>
            <family val="2"/>
          </rPr>
          <t>Author:</t>
        </r>
        <r>
          <rPr>
            <sz val="9"/>
            <color indexed="81"/>
            <rFont val="Tahoma"/>
            <family val="2"/>
          </rPr>
          <t xml:space="preserve">
When we prepare the PERC database to Mentor. Please ask Mentor to run CNOD check too if CNOD check is needed for some process. </t>
        </r>
      </text>
    </comment>
    <comment ref="B368" authorId="0" shapeId="0" xr:uid="{E48C9602-CBE7-4CE9-A9E3-242AB991EBDB}">
      <text>
        <r>
          <rPr>
            <sz val="9"/>
            <color indexed="81"/>
            <rFont val="Tahoma"/>
            <family val="2"/>
          </rPr>
          <t xml:space="preserve">Author:
• For DDR project with only one protocol, set Typical voltage for PERC run. 
   For example, for DDR5 VDDQ(min:1.045V/typical:1.1V/max:1.17V), set voltage as 1.1V.
• For DDR project with more than one protocol, set Maximum Typical voltage for PERC run. 
   For example, for DDR5(VDDQ: min:1.045V/typical:1.1V/max:1.17V)/DDR4(VDDQ : min:1.14V/typical:1.2V/max:1.26V), please set DDR4 VDDQ typical voltage (1.2V) for PERC run.
• For TC with combo feature and combo IO like DDR5(VDDQ: typical 1.1V)/LPDDR5(VDDQ:0.5V or 0.3V) combo,  ESD diode and clamp in DDRIO will be IO device, so still set high voltage (DDR5 VDDQ 1.1V) as the PERC voltage. 
• Similiar practice for LPDDR protocols. Choose the Maximum Typical Voltage.
• For project with ND/OD library set, choose OD typical voltage for PERC run.
</t>
        </r>
      </text>
    </comment>
    <comment ref="B375" authorId="0" shapeId="0" xr:uid="{1032BCF5-EF4E-42C0-AF57-5ACC6A61AD14}">
      <text>
        <r>
          <rPr>
            <sz val="11"/>
            <color theme="1"/>
            <rFont val="Calibri"/>
            <family val="2"/>
            <scheme val="minor"/>
          </rPr>
          <t xml:space="preserve">Author: Latest IPTag content synced with Tobing:
### Date: 2023/0914
### Example DDR IP tag product name input for TSMC IP Tag writer
### comment start with "#".
### characters after " " (space) will be ignored
H       // DDR PHY Architecture. Fixed width [1], 1 character descriptive code. Codes: G = GDDR PHY, H = HS PHY, L = LP PHY, U = UT PHY, P = Phase PHY (obsolete)
P       // IP Type. Field Type: Fixed width [1], 1 character descriptive code. Codes: P = PHY, I = IO &amp; PLL Only
C       // IO Type Type/Vendor. IO type are differentiated to reflect differences in supported features and pin interface. Fixed width [1]. 1 character descriptive code. Codes: C = Cadence Design Systems, A = Aragio, B = Analog Bits, T = TSMC, S = ST, N = None/Not Applicable
F       // Package Type. Fixed width [1], 1 character descriptive code.  F = flip chip, U = ubump / micro bump, W = wirebond, X = macro does not contain IO bonding structures
S       // PLL Vendor. Fixed width [1], 1 character descriptive code.  S = Silicon Creations (For example, all DDR programs use SC DESKEW PLL), C = Cadence Design Systems (for example, GDDR programs use CDNS DESKEW PLL), N = None/Not Applicable
C       // PHY Source. Fixed width [1], 1 character descriptive code.  C = Custom (for example, DDR programs).  S = Standard predefined OTS (Off the shelf) configuration IP (for example, GDDR/Soundwire programs with only one configuration). 
_       // delimiter between phy type and protocol names
D4D3    // Protocol Code, the DDR protocol(s) supported by the design at the PHY level. Variable width, each protocol listed. Starting from the highest DDR protocol(s) to the lowest, then followed by highest LPDDR protocol(s). Field Contents: 2 or more character code with lookup table that will be common for all IP covered by this standard.  Codes: G6 = GDDR6, D5 = DDR5, D4 = DDR4, D3 = DDR3, L5 = LPDDR5, L4 = LPDDR4, L4X = LPDDR4X, L3 = LPDDR3, for L4&amp; L4X use L4L4X following alphabetical order
_       // delimiter between protocol names and process name
T7G     // Process Name, identifies the foundry and process node. This is a variable width field to accommodate differences between the naming conventions between different foundries.  Because it is a variable width field, a trailing delimiter is needed. Variable width, : n character descriptive code with table to provide clarification. Field Format: NGT, N = Code for foundry name G = Geometry T = Process variant Examples: T28HPM
$       // IP Tag delimiter between product name and configuration name
CTIME   // Release Date Code, Description: Code that uniquely identifies the design based on the date and time the final gds was released.  Considering that a large number of PHY configurations can be generated from the system, the release date code is used to guarantee each customer delivery has a unique code, within one minute granularity.  Field Type: Fixed width [13] Field Contents: Starts with character C, followed by 12 character date code in YYYYMMDDhhmm format, describing the date and time the design was released.  The time is captured in hour and minute in 24 hour format. Example: C202007231200
$       // IP Tag delimiter 
V       // PHY orientation following IO orientation, V = NS PHY, H = EW PHY
$       // IP Tag delimiter 
11M2XA1XD3XE2Y2R // Metal Stack info following foundry metal stack code
End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4" authorId="0" shapeId="0" xr:uid="{62B3E105-EC1C-4A52-9DD5-93E3B3F1CEBF}">
      <text>
        <r>
          <rPr>
            <b/>
            <sz val="9"/>
            <color indexed="81"/>
            <rFont val="Tahoma"/>
            <family val="2"/>
          </rPr>
          <t xml:space="preserve">Author:
</t>
        </r>
        <r>
          <rPr>
            <sz val="9"/>
            <color indexed="81"/>
            <rFont val="Tahoma"/>
            <family val="2"/>
          </rPr>
          <t>AMS team will include the DCC cell and Regulator cell integration guide in delivery package. Please check with AMS team if that's not available.
It's must that review the regulator physical design with AMS team.
Refer to below link:
https://cadence.sharepoint.com/:w:/r/sites/DDRHardIP/_layouts/15/Doc.aspx?sourcedoc=%7B83A82D55-4244-4F77-A575-5D325F3F11EC%7D&amp;file=custom_cells.docx&amp;action=default&amp;mobileredirect=true</t>
        </r>
      </text>
    </comment>
    <comment ref="B45" authorId="0" shapeId="0" xr:uid="{81BAA78C-0CFA-4F2B-B08C-759FA5D4E722}">
      <text>
        <r>
          <rPr>
            <b/>
            <sz val="9"/>
            <color indexed="81"/>
            <rFont val="Tahoma"/>
            <family val="2"/>
          </rPr>
          <t xml:space="preserve">Author:
</t>
        </r>
        <r>
          <rPr>
            <sz val="9"/>
            <color indexed="81"/>
            <rFont val="Tahoma"/>
            <family val="2"/>
          </rPr>
          <t>Currently there are three senarios, please make sure the XTC INPUT pins are not floating and connected correctly.
1. For some new version DDRIO with XTC_TIELO (signal attribute), RTL will make the connection and PD don't need to change the netlist. PD only need to follow neltist to connection the PINs physically. No LEC issue. 
2. For DDRIO without XTC_TIELO pin, RTL tie the XTC INPUT pins(which need to be tied to VSS) to 1’b0. PD just need to skip the XTC input pins when inserting the tielo cell like below and use the close VSS pin of DDRIO to make the physical connection. No LEC workaround and issue. (RTL will make the change based on 2022Q1)
addTieHiLo -prefix [dbgDesignName]_TIEHILO -excludePin /projects/Fungible_S2_N7_40bits_4800_phy/work/cadence_phy_cdn_hs_phy_top/yangliu/apr/scripts/PNR/Tielow_excludePin.tcl
3.  For the designs which are based on branches before 2022Q1 and DDRIO has not XTC_TIELO pin, RTL either let the XTC INPUT pins floating or hook up two input XTC INPUT pins with one net without driver. PD need to modify the netlist to connect XTC input pins which is floating or has not driver to VSS (AMS team created a “VSS” pin nearby the PAD*_HV_IN_XTC pins for easier connection for DDRIO.)
As we set "set flatten mode -library_pin_verificaiton" and will treat DDRIO as blackbox, so LEC will fail. You can add extra LEC constraint to bypass this false LEC failures like below,
add primary input cdn_hs_phy_asic_pads/*_pad_*/PAD*_HV_IN_XTC -nocut -both
add pin constraints 0 cdn_hs_phy_asic_pads/*_pad_*/PAD*_HV_IN_XTC -both
For this case, need to pay more attention to the "Floating Instance terminals" and "Undriven Net"  in check_design report to make sure the XTC input pins are connected correctly.
4. TC51/TC51A/TC49 removed the XTC crosstalk pins. So TC51 based customer programs will not have this issue.
Refer to below link:
https://cadence.sharepoint.com/:p:/r/sites/DDRHardIP/_layouts/15/Doc.aspx?sourcedoc=%7BFDB73380-FAE3-4B3A-8396-12A1DB319281%7D&amp;file=DDRIO_XTC_Implementation_Guideline.pptx&amp;action=edit&amp;mobileredirect=true</t>
        </r>
      </text>
    </comment>
    <comment ref="B49" authorId="0" shapeId="0" xr:uid="{A115AFA4-DEC8-45D8-9FB8-39F86A00704C}">
      <text>
        <r>
          <rPr>
            <b/>
            <sz val="9"/>
            <color indexed="81"/>
            <rFont val="Tahoma"/>
            <family val="2"/>
          </rPr>
          <t>Author: 
It's better to sent the IO order to IO team to double confirm.</t>
        </r>
        <r>
          <rPr>
            <sz val="9"/>
            <color indexed="81"/>
            <rFont val="Tahoma"/>
            <family val="2"/>
          </rPr>
          <t xml:space="preserve">
</t>
        </r>
        <r>
          <rPr>
            <b/>
            <sz val="9"/>
            <color indexed="81"/>
            <rFont val="Tahoma"/>
            <family val="2"/>
          </rPr>
          <t xml:space="preserve">Must read the DDRIO datasheet as some special implementation guidance is specified in DDRIO datasheet only like ddr800* IO due to PHY implementation guide is a general implementation guide and can't cover all protocols and all IO versions. </t>
        </r>
      </text>
    </comment>
    <comment ref="B56" authorId="0" shapeId="0" xr:uid="{D2364EFD-3464-4D39-9BFA-E8E9FD8B2A3F}">
      <text>
        <r>
          <rPr>
            <b/>
            <sz val="9"/>
            <color indexed="81"/>
            <rFont val="Tahoma"/>
            <family val="2"/>
          </rPr>
          <t xml:space="preserve">Author:
MCI (Multi-channel interface) feature is in controller addendum. 
Please double check the controller addendum and double check with design team. </t>
        </r>
      </text>
    </comment>
    <comment ref="B58" authorId="0" shapeId="0" xr:uid="{82D95287-FB60-446E-BFEA-64F8A01BDB99}">
      <text>
        <r>
          <rPr>
            <b/>
            <sz val="9"/>
            <color indexed="81"/>
            <rFont val="Tahoma"/>
            <family val="2"/>
          </rPr>
          <t>Author:</t>
        </r>
        <r>
          <rPr>
            <sz val="9"/>
            <color indexed="81"/>
            <rFont val="Tahoma"/>
            <family val="2"/>
          </rPr>
          <t xml:space="preserve">
Place the cdn_hs_phy*/inst_dfi_dly module close to the DFI interface pins and make sure the DFI interface registers are close to DFI pins in final database. 
Please take care all clocks balancing to the DFI pins except the opcg clock. 
Please double check the below dfi input/output skew report in STA environment rpts directory to make sure the skew is small to let SOC side has the largest setup/hold margin.
cdn_hs_phy_top.dfi_inputs.skew.rpt.ets
cdn_hs_phy_top.dfi_outputs.skew.rpt.ets</t>
        </r>
      </text>
    </comment>
    <comment ref="B60" authorId="0" shapeId="0" xr:uid="{3AD90B0E-0D40-4E74-B386-2CD7B0551CB2}">
      <text>
        <r>
          <rPr>
            <b/>
            <sz val="9"/>
            <color indexed="81"/>
            <rFont val="Tahoma"/>
            <family val="2"/>
          </rPr>
          <t>Author:</t>
        </r>
        <r>
          <rPr>
            <sz val="9"/>
            <color indexed="81"/>
            <rFont val="Tahoma"/>
            <family val="2"/>
          </rPr>
          <t xml:space="preserve">
Max. data rate :  VDDPLL Extra decap /PLL should be added by PD.
12800Mbps 130pF/PLL min.
11200Mbps 123pF/PLL min.
9600Mbps 115pF/PLL min.
8800Mbps 111pF/PLL min.
8400Mbps 109pF/PLL min.
7200Mbps 104pF/PLL min.
6400Mbps 100pF/PLL min.
6000Mbps 94pF/PLL min.
5600Mbps 88pF/PLL min.
5500Mbps 86pF/PLL min.
5200Mbps 81pF/PLL min.
4800Mbps 75pF/PLL min.
4400Mbps 69pF/PLL min.
4266Mbps 67pF/PLL min.
4000Mbps 63pF/PLL min.
3733Mbps 58pF/PLL min.
3600Mbps 56pF/PLL min.
3200Mbps 50pF/PLL min.
2750Mbps 50pF/PLL min.
2133Mbps 50pF/PLL min.
1600Mbps 50pF/PLL min.
1066Mbps 50pF/PLL min.
55Mbps 50pF/PLL min.
Follow guidance in 
https://cadence.sharepoint.com/:x:/r/sites/DDRHardIP/_layouts/15/Doc.aspx?sourcedoc=%7B5ABAB142-2B60-4676-928B-18717C8CD51E%7D&amp;file=DDR_PHY_IP_AMS_Integration_and_Signoff_Check_List.V1.2.xlsx&amp;action=default&amp;mobileredirect=true</t>
        </r>
      </text>
    </comment>
    <comment ref="B61" authorId="0" shapeId="0" xr:uid="{47332164-1E93-4095-9EC3-E353C378CE64}">
      <text>
        <r>
          <rPr>
            <b/>
            <sz val="9"/>
            <color indexed="81"/>
            <rFont val="Tahoma"/>
            <family val="2"/>
          </rPr>
          <t xml:space="preserve">Author:
It's really important that PHY_TOP owner read the phy implementation guide and DDRIO/PLL documents to aviod miss anything important. 
</t>
        </r>
        <r>
          <rPr>
            <sz val="9"/>
            <color indexed="81"/>
            <rFont val="Tahoma"/>
            <family val="2"/>
          </rPr>
          <t>It's impossible that</t>
        </r>
        <r>
          <rPr>
            <b/>
            <sz val="9"/>
            <color indexed="81"/>
            <rFont val="Tahoma"/>
            <family val="2"/>
          </rPr>
          <t xml:space="preserve"> </t>
        </r>
        <r>
          <rPr>
            <sz val="9"/>
            <color indexed="81"/>
            <rFont val="Tahoma"/>
            <family val="2"/>
          </rPr>
          <t xml:space="preserve">PHY implementation guide covers all protocols and all special usage. For example, there are many special IO integration guidelines covered by the DDRIO datasheet like LPDDR5 ddr800 IO. </t>
        </r>
      </text>
    </comment>
    <comment ref="B62" authorId="0" shapeId="0" xr:uid="{6F5D7556-B39D-482B-AAFF-2952C202B721}">
      <text>
        <r>
          <rPr>
            <b/>
            <sz val="9"/>
            <color indexed="81"/>
            <rFont val="Tahoma"/>
            <family val="2"/>
          </rPr>
          <t>Author:</t>
        </r>
        <r>
          <rPr>
            <sz val="9"/>
            <color indexed="81"/>
            <rFont val="Tahoma"/>
            <family val="2"/>
          </rPr>
          <t xml:space="preserve">
QC criteria
VDDPLL decap target  &gt;25pF per PLL * (# of PLLs). Must meet the minimum target. Usually total VDDPLL decap &lt;1 nF 
VDD decap target ~ 10nF per 16-bit PHY, +/-30% is ok 
VDDQCK decap target ~ decap/IO target * (# of clock IO cells) , +/-20% is ok
VDDQ decap target ~ decap/IO target * (# of active IO cells) , +/-20% is ok 
VDDQX decap target &gt;5pF per IO * (# of active IO cells). Must meet the minimum target. Usually total VDDQX decap &lt;1 nF </t>
        </r>
      </text>
    </comment>
    <comment ref="B63" authorId="0" shapeId="0" xr:uid="{FB0F0AA9-2413-4E6B-8AB0-AC45F4274C43}">
      <text>
        <r>
          <rPr>
            <b/>
            <sz val="9"/>
            <color indexed="81"/>
            <rFont val="Tahoma"/>
            <family val="2"/>
          </rPr>
          <t>Author:
Follow the guidance as below,
https://cadence.sharepoint.com/sites/DDRHardIP/DDR%20IP%20Development%20Flow/Forms/AllItems.aspx?id=%2Fsites%2FDDRHardIP%2FDDR%20IP%20Development%20Flow%2FProcess%5FMoniter%5FImplementation%5FGuide%2Epdf&amp;parent=%2Fsites%2FDDRHardIP%2FDDR%20IP%20Development%20Flow</t>
        </r>
        <r>
          <rPr>
            <sz val="9"/>
            <color indexed="81"/>
            <rFont val="Tahoma"/>
            <family val="2"/>
          </rPr>
          <t xml:space="preserve">
</t>
        </r>
      </text>
    </comment>
    <comment ref="B67" authorId="0" shapeId="0" xr:uid="{A525EF16-03A8-4669-8A98-6587681B591D}">
      <text>
        <r>
          <rPr>
            <b/>
            <sz val="9"/>
            <color indexed="81"/>
            <rFont val="Tahoma"/>
            <family val="2"/>
          </rPr>
          <t>Author:</t>
        </r>
        <r>
          <rPr>
            <sz val="9"/>
            <color indexed="81"/>
            <rFont val="Tahoma"/>
            <family val="2"/>
          </rPr>
          <t xml:space="preserve">
GROUP selectChecks "ARC_?"
DRC SELECT CHECK selectChecks
//#Required switches:
#define FULL_CHIP                           // Full chip mode
#define ARC_CHECKS                          "ON"                          // Enable, select, or disable arc checks
</t>
        </r>
      </text>
    </comment>
    <comment ref="B93" authorId="0" shapeId="0" xr:uid="{E3ED72A3-9F03-466D-B2ED-AB96DE4399D3}">
      <text>
        <r>
          <rPr>
            <sz val="9"/>
            <color indexed="81"/>
            <rFont val="Tahoma"/>
            <family val="2"/>
          </rPr>
          <t xml:space="preserve">Author:
Use CDNS wrapper spice model if that is available and that matches to AMS team EMIR environment. 
Use lpe_spice to generate the standard cell library PGV view. 
For example:
set_pg_library_mode \
    -spice_corners        {ir_em} \
    -spice_models         /process/tsmcN12/data/ffc/PDK/current/models/current/ir_em.scs \
</t>
        </r>
      </text>
    </comment>
    <comment ref="B120" authorId="0" shapeId="0" xr:uid="{F0DB20DA-CA02-4152-9736-39CDFC8DAD1A}">
      <text>
        <r>
          <rPr>
            <b/>
            <sz val="9"/>
            <color indexed="81"/>
            <rFont val="Tahoma"/>
            <family val="2"/>
          </rPr>
          <t xml:space="preserve">Author:
Can cover VDDR strapes to the Regulator VDDR pins and set the Regulator VDDR strapes center points on Regulator as the VDDR power source points.
Can run dynamic power for VDDR domain to get the total capacitance and confirm that with AMS team. Regulator has load capacitance range requirement.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14" authorId="0" shapeId="0" xr:uid="{F48FB89F-1A12-4712-B7AF-C791AF6CFD27}">
      <text>
        <r>
          <rPr>
            <sz val="11"/>
            <color theme="1"/>
            <rFont val="Calibri"/>
            <family val="2"/>
            <scheme val="minor"/>
          </rPr>
          <t xml:space="preserve">Author: 
Double check whether lpe based spice netlist is specified in create_spice_deck.tcl of STA environment and the version is correct. 
Double check with Balbeer whether DCC cell lpe based spice netlist version is correct. 
</t>
        </r>
      </text>
    </comment>
    <comment ref="B152" authorId="0" shapeId="0" xr:uid="{175012DE-863A-4940-A88A-57F551EA9A95}">
      <text>
        <r>
          <rPr>
            <b/>
            <sz val="9"/>
            <color indexed="81"/>
            <rFont val="Tahoma"/>
            <family val="2"/>
          </rPr>
          <t>Author:</t>
        </r>
        <r>
          <rPr>
            <sz val="9"/>
            <color indexed="81"/>
            <rFont val="Tahoma"/>
            <family val="2"/>
          </rPr>
          <t xml:space="preserve">
When we prepare the PERC database to Mentor. Please ask Mentor to run CNOD check too if CNOD check is needed for some process. </t>
        </r>
      </text>
    </comment>
    <comment ref="B153" authorId="0" shapeId="0" xr:uid="{610BC27B-9DE5-41EA-A9B2-59B388306F9A}">
      <text>
        <r>
          <rPr>
            <sz val="9"/>
            <color indexed="81"/>
            <rFont val="Tahoma"/>
            <family val="2"/>
          </rPr>
          <t xml:space="preserve">Author:
• For DDR project with only one protocol, set Typical voltage for PERC run. 
   For example, for DDR5 VDDQ(min:1.045V/typical:1.1V/max:1.17V), set voltage as 1.1V.
• For DDR project with more than one protocol, set Maximum Typical voltage for PERC run. 
   For example, for DDR5(VDDQ: min:1.045V/typical:1.1V/max:1.17V)/DDR4(VDDQ : min:1.14V/typical:1.2V/max:1.26V), please set DDR4 VDDQ typical voltage (1.2V) for PERC run.
• For TC with combo feature and combo IO like DDR5(VDDQ: typical 1.1V)/LPDDR5(VDDQ:0.5V or 0.3V) combo,  ESD diode and clamp in DDRIO will be IO device, so still set high voltage (DDR5 VDDQ 1.1V) as the PERC voltage. 
• Similiar practice for LPDDR protocols. Choose the Maximum Typical Voltage.
• For project with ND/OD library set, choose OD typical voltage for PERC run.
</t>
        </r>
      </text>
    </comment>
    <comment ref="B160" authorId="0" shapeId="0" xr:uid="{FF9A9C29-5758-4C4A-86EB-16FC4B4E8129}">
      <text>
        <r>
          <rPr>
            <sz val="11"/>
            <color theme="1"/>
            <rFont val="Calibri"/>
            <family val="2"/>
            <scheme val="minor"/>
          </rPr>
          <t xml:space="preserve">Author: Latest IPTag content synced with Tobing:
### Date: 2023/0914
### Example DDR IP tag product name input for TSMC IP Tag writer
### comment start with "#".
### characters after " " (space) will be ignored
H       // DDR PHY Architecture. Fixed width [1], 1 character descriptive code. Codes: G = GDDR PHY, H = HS PHY, L = LP PHY, U = UT PHY, P = Phase PHY (obsolete)
P       // IP Type. Field Type: Fixed width [1], 1 character descriptive code. Codes: P = PHY, I = IO &amp; PLL Only
C       // IO Type Type/Vendor. IO type are differentiated to reflect differences in supported features and pin interface. Fixed width [1]. 1 character descriptive code. Codes: C = Cadence Design Systems, A = Aragio, B = Analog Bits, T = TSMC, S = ST, N = None/Not Applicable
F       // Package Type. Fixed width [1], 1 character descriptive code.  F = flip chip, U = ubump / micro bump, W = wirebond, X = macro does not contain IO bonding structures
S       // PLL Vendor. Fixed width [1], 1 character descriptive code.  S = Silicon Creations (For example, all DDR programs use SC DESKEW PLL), C = Cadence Design Systems (for example, GDDR programs use CDNS DESKEW PLL), N = None/Not Applicable
C       // PHY Source. Fixed width [1], 1 character descriptive code.  C = Custom (for example, DDR programs).  S = Standard predefined OTS (Off the shelf) configuration IP (for example, GDDR/Soundwire programs with only one configuration). 
_       // delimiter between phy type and protocol names
D4D3    // Protocol Code, the DDR protocol(s) supported by the design at the PHY level. Variable width, each protocol listed. Starting from the highest DDR protocol(s) to the lowest, then followed by highest LPDDR protocol(s). Field Contents: 2 or more character code with lookup table that will be common for all IP covered by this standard.  Codes: G6 = GDDR6, D5 = DDR5, D4 = DDR4, D3 = DDR3, L5 = LPDDR5, L4 = LPDDR4, L4X = LPDDR4X, L3 = LPDDR3, for L4&amp; L4X use L4L4X following alphabetical order
_       // delimiter between protocol names and process name
T7G     // Process Name, identifies the foundry and process node. This is a variable width field to accommodate differences between the naming conventions between different foundries.  Because it is a variable width field, a trailing delimiter is needed. Variable width, : n character descriptive code with table to provide clarification. Field Format: NGT, N = Code for foundry name G = Geometry T = Process variant Examples: T28HPM
$       // IP Tag delimiter between product name and configuration name
CTIME   // Release Date Code, Description: Code that uniquely identifies the design based on the date and time the final gds was released.  Considering that a large number of PHY configurations can be generated from the system, the release date code is used to guarantee each customer delivery has a unique code, within one minute granularity.  Field Type: Fixed width [13] Field Contents: Starts with character C, followed by 12 character date code in YYYYMMDDhhmm format, describing the date and time the design was released.  The time is captured in hour and minute in 24 hour format. Example: C202007231200
$       // IP Tag delimiter 
V       // PHY orientation following IO orientation, V = NS PHY, H = EW PHY
$       // IP Tag delimiter 
11M2XA1XD3XE2Y2R // Metal Stack info following foundry metal stack code
End
</t>
        </r>
      </text>
    </comment>
  </commentList>
</comments>
</file>

<file path=xl/sharedStrings.xml><?xml version="1.0" encoding="utf-8"?>
<sst xmlns="http://schemas.openxmlformats.org/spreadsheetml/2006/main" count="5275" uniqueCount="1146">
  <si>
    <t>Project Info</t>
  </si>
  <si>
    <t>Comments</t>
  </si>
  <si>
    <t xml:space="preserve">Enterprise Name : </t>
  </si>
  <si>
    <t>eg: socionext.milpitas.n1-DDR5_CTL_PHY_DF</t>
  </si>
  <si>
    <t xml:space="preserve">Protocols : </t>
  </si>
  <si>
    <t>eg: DDR5</t>
  </si>
  <si>
    <t xml:space="preserve">Max Data Rate : </t>
  </si>
  <si>
    <t>eg: 8400Mbps</t>
  </si>
  <si>
    <t xml:space="preserve">Main Clock Freq : </t>
  </si>
  <si>
    <t>eg: 1050MHz</t>
  </si>
  <si>
    <t xml:space="preserve">Process : </t>
  </si>
  <si>
    <t>eg: TSMC N3P</t>
  </si>
  <si>
    <t xml:space="preserve">Max Physical Ranks (DDR only) : </t>
  </si>
  <si>
    <t>eg: 4</t>
  </si>
  <si>
    <t xml:space="preserve">DFI Frequency Ratio (DDR/GDDR only): </t>
  </si>
  <si>
    <t>eg: 4:1</t>
  </si>
  <si>
    <t xml:space="preserve">Bits Information : </t>
  </si>
  <si>
    <t>eg: 80 bits</t>
  </si>
  <si>
    <t xml:space="preserve">Metal Stack : </t>
  </si>
  <si>
    <t>eg:17M_1Xa1Xb1Xc1Xd1Ya1Yb4Y2Yy2Yx2R_UTRDL</t>
  </si>
  <si>
    <t xml:space="preserve">Core Voltage : </t>
  </si>
  <si>
    <t>eg: ND:0.75V/OD 0.85V</t>
  </si>
  <si>
    <t>Name</t>
  </si>
  <si>
    <t>Sign-Off Date</t>
  </si>
  <si>
    <t xml:space="preserve">Program Management : </t>
  </si>
  <si>
    <t xml:space="preserve">RTL Design Lead : </t>
  </si>
  <si>
    <t xml:space="preserve">AMS Design Lead : </t>
  </si>
  <si>
    <t xml:space="preserve">Physical Design Lead : </t>
  </si>
  <si>
    <t xml:space="preserve">STA Signoff Lead : </t>
  </si>
  <si>
    <t xml:space="preserve">Verication Lead : </t>
  </si>
  <si>
    <t xml:space="preserve">Peer Reviewer : </t>
  </si>
  <si>
    <t>% Complete</t>
  </si>
  <si>
    <t>Missing Info</t>
  </si>
  <si>
    <t xml:space="preserve"> 1.0 - LIBRARY CHECK (GENERAL FOR ALL IPS)</t>
  </si>
  <si>
    <t>Stages</t>
  </si>
  <si>
    <t>IP Type</t>
  </si>
  <si>
    <t>Hierarchy</t>
  </si>
  <si>
    <t>Checked</t>
  </si>
  <si>
    <t>Need Auto</t>
  </si>
  <si>
    <t>Auto Value</t>
  </si>
  <si>
    <t>Manual Value</t>
  </si>
  <si>
    <t>Auto Ref info</t>
  </si>
  <si>
    <r>
      <t xml:space="preserve">Action(s)
</t>
    </r>
    <r>
      <rPr>
        <sz val="11"/>
        <color theme="1"/>
        <rFont val="Calibri"/>
        <family val="2"/>
        <scheme val="minor"/>
      </rPr>
      <t>[ JIRA Numbers ]</t>
    </r>
  </si>
  <si>
    <r>
      <t xml:space="preserve">Links
</t>
    </r>
    <r>
      <rPr>
        <sz val="11"/>
        <color theme="1"/>
        <rFont val="Calibri"/>
        <family val="2"/>
        <scheme val="minor"/>
      </rPr>
      <t>[ Background Info ]</t>
    </r>
  </si>
  <si>
    <t>IMP-1-0-0-00</t>
  </si>
  <si>
    <t>Confirm the version of all the libraries used for this project are correct and match to addendum.</t>
  </si>
  <si>
    <t>default</t>
  </si>
  <si>
    <t>NO</t>
  </si>
  <si>
    <t>IMP-1-0-0-01</t>
  </si>
  <si>
    <t>List standard cell libraries used for implementation and signoff.</t>
  </si>
  <si>
    <t>YES</t>
  </si>
  <si>
    <t>IMP-1-0-0-02</t>
  </si>
  <si>
    <t>List any forbidden cells (special request from foundry or customers).</t>
  </si>
  <si>
    <t>IMP-1-0-0-03</t>
  </si>
  <si>
    <t>List all other libraries used for implementation and signoff (eg: IO/PLL/DCC/BUMP/PLL/NoiseGen/ProcessMoniter/etc).</t>
  </si>
  <si>
    <t>IMP-1-0-0-04</t>
  </si>
  <si>
    <t>Confirm the versions of analog cells/macros are correct with AMS/Analog team.</t>
  </si>
  <si>
    <t xml:space="preserve"> 2.0 - TECHFILE AND RULE DECK CHECK (GENERAL FOR ALL IPS)</t>
  </si>
  <si>
    <t>IMP-2-0-0-00</t>
  </si>
  <si>
    <t>List Innovus Tech Lef name.
eg:N16_Encounter_11M_2Xa1Xd3Xe2Y2R_UTRDL_9T_PODE_1.2a.tlef</t>
  </si>
  <si>
    <t>IMP-2-0-0-01</t>
  </si>
  <si>
    <t>List Innovus gdsout map name.
eg: PRTF_Innovus_N3P_gdsout_17M_1Xa_h_1Xb_v_1Xc_h_1Xd_v_1Ya_h_1Yb_v_4Y_hvhv_2Yy2Yx2R_SHDMIM.10c.map</t>
  </si>
  <si>
    <t>IMP-2-0-0-02</t>
  </si>
  <si>
    <t>Confirm latest DRC rule deck(s) was used? List DRC rule deck name in Comments. 
eg: PLN3ELO_17M_1Xa1Xb1Xc1Xd1Ya1Yb4Y2Yy2Yx2R_014.11_2a.encrypt
      PLN3ELO_17M_1Xa1Xb1Xc1Xd1Ya1Yb4Y2Yy2Yx2R_054_PATCH.11_2a.encrypt</t>
  </si>
  <si>
    <t>IMP-2-0-0-03</t>
  </si>
  <si>
    <t>Confirm DRC rule deck was not modified?  If it was, explain in comments field.</t>
  </si>
  <si>
    <t>IMP-2-0-0-04</t>
  </si>
  <si>
    <t>Confirm latest Antenna rule deck(s) was used? List DRC rule deck name in Comments. 
eg: PLN3ELO_17M_1Xa1Xb1Xc1Xd1Ya1Yb4Y2Yy2Yx2R_014_ANT.11_2a.encrypt
      PLN3ELO_17M_1Xa1Xb1Xc1Xd1Ya1Yb4Y2Yy2Yx2R_014_SHDMIM_ANT.11_2a.encrypt</t>
  </si>
  <si>
    <t>IMP-2-0-0-05</t>
  </si>
  <si>
    <t>Confirm ANT rule deck was not modified?  If it was, explain in comments field.</t>
  </si>
  <si>
    <t>IMP-2-0-0-06</t>
  </si>
  <si>
    <t>Confirm latest LVS rule deck(s) was used? List LVS rule deck name in Comments. 
eg: DFM_LVS_RC_PEGASUS_N3P_1p17M_1Xa1Xb1Xc1Xd1Ya1Yb4Y2Yy2Yx2R_ALRDL.1.0a</t>
  </si>
  <si>
    <t>IMP-2-0-0-07</t>
  </si>
  <si>
    <t>Confirm LVS rule deck was not modified?  If it was, explain in comments field.</t>
  </si>
  <si>
    <t>IMP-2-0-0-08</t>
  </si>
  <si>
    <t>Confirm latest BUMP rule deck(s) was used? List BUMP rule deck name in Comments. 
eg: PN3_CU_ROUND_BUMP_ON_PAD_17M_1Xa1Xb1Xc1Xd1Ya1Yb4Y2Yy2Yx2R_003.10a</t>
  </si>
  <si>
    <t>IMP-2-0-0-09</t>
  </si>
  <si>
    <t>Confirm BUMP rule deck was not modified?  If it was, explain in comments field.</t>
  </si>
  <si>
    <t>IMP-2-0-0-10</t>
  </si>
  <si>
    <t>List FEOL dummy rule deck name.
eg: Dummy_FEOL_Pegasus_3nm_E_17M_1Xa1Xb1Xc1Xd1Ya1Yb4Y2Yy2Yx2R_014.11_1a</t>
  </si>
  <si>
    <t>IMP-2-0-0-11</t>
  </si>
  <si>
    <t>List BEOL dummy rule deck name.
eg: Dummy_BEOL_Pegasus_3nm_E_17M_1Xa1Xb1Xc1Xd1Ya1Yb4Y2Yy2Yx2R_014.11_1a</t>
  </si>
  <si>
    <t>IMP-2-0-0-12</t>
  </si>
  <si>
    <t>List COD dummy rule deck name (fill N/A if no COD).
eg: PLN16FFP_FINcut_AutoGen.11b.encrypt</t>
  </si>
  <si>
    <t>IMP-2-0-0-13</t>
  </si>
  <si>
    <t>List Spice Model used for PGV generation.
eg: tsmc3gp.a.4/models/spectre_v1d0_2p6/ir_em.scs</t>
  </si>
  <si>
    <t>IMP-2-0-0-14</t>
  </si>
  <si>
    <t>List EM irxc rule deck name.
eg: ICT_EM_v1d0p1a/cln3p_1p17m+ut-alrdl_1xa1xb1xc1xd1ya1yb4y2yy2yx2r_shdmim.ictem</t>
  </si>
  <si>
    <t>IMP-2-0-0-15</t>
  </si>
  <si>
    <t>List QRC techfile name.
eg: 17M1Xa1Xb1Xc1Xd1Ya1Yb4Y2Yy2Yx2R_SHDMIM_UT/fs_v1d0p1a</t>
  </si>
  <si>
    <t xml:space="preserve"> 3.0 - TOOL VERSION (GENERAL FOR ALL IPS)</t>
  </si>
  <si>
    <t>IMP-3-0-0-00</t>
  </si>
  <si>
    <t>List Innovus implementation tool version (eg. innovus/221/22.11-s119_1)</t>
  </si>
  <si>
    <t>IMP-3-0-0-01</t>
  </si>
  <si>
    <t>List Quantus RC extration tool version (eg. quantus/231/23.11.000)</t>
  </si>
  <si>
    <t>IMP-3-0-0-02</t>
  </si>
  <si>
    <t>List Conformal LEC tool version (eg. confrml/241/24.10.100)</t>
  </si>
  <si>
    <t>IMP-3-0-0-03</t>
  </si>
  <si>
    <t>List Tempus timing signoff tool version (eg. ssv/231/23.12-s092_1)</t>
  </si>
  <si>
    <t>IMP-3-0-0-04</t>
  </si>
  <si>
    <t>List Voltus power and EMIR signoff tool version (eg. quantus/231/23.11.000)</t>
  </si>
  <si>
    <t>IMP-3-0-0-05</t>
  </si>
  <si>
    <t>List Pegasus physical signoff tool version (eg. pegasus/232/23.25.000)</t>
  </si>
  <si>
    <r>
      <t xml:space="preserve"> 4.0 - CONSTRAINT CHECK  (GENERAL FOR ALL IPS </t>
    </r>
    <r>
      <rPr>
        <b/>
        <sz val="10"/>
        <color rgb="FFFF0000"/>
        <rFont val="Calibri"/>
        <family val="2"/>
        <scheme val="minor"/>
      </rPr>
      <t>EXCEPT MIG</t>
    </r>
    <r>
      <rPr>
        <b/>
        <sz val="10"/>
        <color theme="1"/>
        <rFont val="Calibri"/>
        <family val="2"/>
        <scheme val="minor"/>
      </rPr>
      <t>. MIG HAS FEI TEAM TO HANDLE SYNTHESIS PART)</t>
    </r>
  </si>
  <si>
    <r>
      <t xml:space="preserve">Action(s)
</t>
    </r>
    <r>
      <rPr>
        <sz val="10"/>
        <color theme="1"/>
        <rFont val="Calibri"/>
        <family val="2"/>
        <scheme val="minor"/>
      </rPr>
      <t>[ JIRA Numbers ]</t>
    </r>
  </si>
  <si>
    <t>IMP-4-0-0-00</t>
  </si>
  <si>
    <t>Confirm clock constraints in the SDC match or exceed the specified requirements?</t>
  </si>
  <si>
    <t>HPP/HSS/HBM</t>
  </si>
  <si>
    <t>IMP-4-0-0-01</t>
  </si>
  <si>
    <t>Confirm clock duty cycle constraints were reviewed for each clock and match or exceed specified requirements?</t>
  </si>
  <si>
    <t>IMP-4-0-0-02</t>
  </si>
  <si>
    <t>Confirm clock uncertainty constraints account for cycle-to-cycle jitter for all clocks?</t>
  </si>
  <si>
    <t>IMP-4-0-0-03</t>
  </si>
  <si>
    <t>Confirm clock uncertainty constraints account for duty cycle distortion and duty cycle jitter for all clocks?</t>
  </si>
  <si>
    <t>IMP-4-0-0-04</t>
  </si>
  <si>
    <t>Confirm minimum uncertainty guidelines from foundry were followed and included in constraints?</t>
  </si>
  <si>
    <t>IMP-4-0-0-05</t>
  </si>
  <si>
    <t>Confirm clock uncertainties were reviewed for test modes (scan clocks coming from a different source, supported tester specs, etc.)?</t>
  </si>
  <si>
    <t>IMP-4-0-0-06</t>
  </si>
  <si>
    <t>Confirm all I/O constraints meet specified requirements?</t>
  </si>
  <si>
    <t>IMP-4-0-0-07</t>
  </si>
  <si>
    <t>Confirm all unconstrained paths and IOs have been peer reviewed and approved?</t>
  </si>
  <si>
    <t>Provide links to Jira Waiver issues as documentary evidence of peer review and waiver agreement where required.</t>
  </si>
  <si>
    <t>IMP-4-0-0-08</t>
  </si>
  <si>
    <t>Confirm all path exceptions (false paths, multicycle, max delay) have been peer reviewed and approved?</t>
  </si>
  <si>
    <t>IMP-4-0-0-09</t>
  </si>
  <si>
    <t>Confirm SDC contains all necessary Functional, DFT and power modes (including voltage scaling mode/reduced voltage and/or performance)?</t>
  </si>
  <si>
    <t>Provide links to Jira Waiver issues as documentary evidence of peer review and waiver agreement to proceed if constraints for any mode are missing or incomplete.</t>
  </si>
  <si>
    <t>IMP-4-0-0-10</t>
  </si>
  <si>
    <t>Confrim proper clock and data transition limit values were set?</t>
  </si>
  <si>
    <t>Provide a list of values used in comment field.</t>
  </si>
  <si>
    <r>
      <t xml:space="preserve"> 5.0 - SYNTHESIS CHECK  (GENERAL FOR ALL IPS </t>
    </r>
    <r>
      <rPr>
        <b/>
        <sz val="10"/>
        <color rgb="FFFF0000"/>
        <rFont val="Calibri"/>
        <family val="2"/>
        <scheme val="minor"/>
      </rPr>
      <t>EXCEPT MIG</t>
    </r>
    <r>
      <rPr>
        <b/>
        <sz val="10"/>
        <color theme="1"/>
        <rFont val="Calibri"/>
        <family val="2"/>
        <scheme val="minor"/>
      </rPr>
      <t>. MIG HAS FEI TEAM TO HANDLE SYNTHESIS PART)</t>
    </r>
  </si>
  <si>
    <t>IMP-5-0-0-00</t>
  </si>
  <si>
    <t>Confirm synthesis is using lib models for timing?</t>
  </si>
  <si>
    <t>IMP-5-0-0-01</t>
  </si>
  <si>
    <t>Confirm synthesis is using lef data for PLE optimization?</t>
  </si>
  <si>
    <t>IMP-5-0-0-02</t>
  </si>
  <si>
    <t>Confirm synthesis is using qrc tech file for RC data?</t>
  </si>
  <si>
    <t>IMP-5-0-0-03</t>
  </si>
  <si>
    <t>Confirm target standard cell library corners are correct?</t>
  </si>
  <si>
    <t>IMP-5-0-0-04</t>
  </si>
  <si>
    <t>Confirm Jasper RTL Lint Summary report has no Error?</t>
  </si>
  <si>
    <t>IMP-5-0-0-05</t>
  </si>
  <si>
    <t>Confirm Unresolved References are none?</t>
  </si>
  <si>
    <t>IMP-5-0-0-06</t>
  </si>
  <si>
    <t>Confirm Empty Modules  are none or explained?</t>
  </si>
  <si>
    <t>IMP-5-0-0-07</t>
  </si>
  <si>
    <t>Confirm SDC Read Failures  clean?</t>
  </si>
  <si>
    <t>IMP-5-0-0-08</t>
  </si>
  <si>
    <t>Confirm Multidriven Report  clean?</t>
  </si>
  <si>
    <t>IMP-5-0-0-09</t>
  </si>
  <si>
    <t>Confirm Latches Inferred  documented?</t>
  </si>
  <si>
    <t>IMP-5-0-0-10</t>
  </si>
  <si>
    <t>Confirm don't use cell list includes forbidden cells specified in IMP-1-0-0-02?</t>
  </si>
  <si>
    <t>IMP-5-0-0-11</t>
  </si>
  <si>
    <t>Confirm synthesis log has been peer reviewed and all warnings are understood and annotated with an explanation?</t>
  </si>
  <si>
    <t>IMP-5-0-0-12</t>
  </si>
  <si>
    <t>Confirm synthesis Quality Of Results (QOR) meets requirements (timing, area, power)?</t>
  </si>
  <si>
    <t>Please add a link to QOR reports</t>
  </si>
  <si>
    <t>IMP-5-0-0-13</t>
  </si>
  <si>
    <t>Confirm scan is successfully inserted and non-scannable flops have been peer reviewed and waived?</t>
  </si>
  <si>
    <t>IMP-5-0-0-14</t>
  </si>
  <si>
    <t>Confirm that there are no other violations or errors (max cap, max transition etc)?</t>
  </si>
  <si>
    <t>IMP-5-0-0-15</t>
  </si>
  <si>
    <t>Confirm all DFT checks pass?</t>
  </si>
  <si>
    <t>IMP-5-0-0-16</t>
  </si>
  <si>
    <t>Confirm CPF/UPF file  has passed Conformal LP quality checks against RTL prior to synthesis?</t>
  </si>
  <si>
    <t>IMP-5-0-0-17</t>
  </si>
  <si>
    <t>Confirm CPF/UPF file  has passed Conformal LP quality checks against post DFT insertion synthesis netlist?</t>
  </si>
  <si>
    <t>IMP-5-0-0-18</t>
  </si>
  <si>
    <t xml:space="preserve">Document DFT Stuck-At % generated by the DFT flow and confirm this value meets or exceeds the DFT CoE expected value? </t>
  </si>
  <si>
    <t>IMP-5-0-0-19</t>
  </si>
  <si>
    <t>Document DFT Transition % generated by the DFT flow and confirm this value meets or exceeds the DFT CoE expected value?</t>
  </si>
  <si>
    <r>
      <t xml:space="preserve"> 6.0 - POST SYNTHESIS LEC CHECK  (GENERAL FOR ALL IPS </t>
    </r>
    <r>
      <rPr>
        <b/>
        <sz val="10"/>
        <color rgb="FFFF0000"/>
        <rFont val="Calibri"/>
        <family val="2"/>
        <scheme val="minor"/>
      </rPr>
      <t>EXCEPT MIG</t>
    </r>
    <r>
      <rPr>
        <b/>
        <sz val="10"/>
        <color theme="1"/>
        <rFont val="Calibri"/>
        <family val="2"/>
        <scheme val="minor"/>
      </rPr>
      <t>. MIG HAS FEI TEAM TO HANDLE SYNTHESIS PART)</t>
    </r>
  </si>
  <si>
    <t>IMP-6-0-0-00</t>
  </si>
  <si>
    <t>Confirm conformal constraints have been peer reviewed and approved?</t>
  </si>
  <si>
    <t>IMP-6-0-0-01</t>
  </si>
  <si>
    <t>Confirm conformal log file has been peer reviewed and all warnings have a waiver/explanation?</t>
  </si>
  <si>
    <t>IMP-6-0-0-02</t>
  </si>
  <si>
    <t>Confirm all listed black boxes are intended?</t>
  </si>
  <si>
    <t>IMP-6-0-0-03</t>
  </si>
  <si>
    <t>Confirm all user defined black boxes have port definitions declared?   
(.lib or verilog stub file)</t>
  </si>
  <si>
    <t>IMP-6-0-0-04</t>
  </si>
  <si>
    <t>Confirm no aborted compare points exist in log files or reports?</t>
  </si>
  <si>
    <t>IMP-6-0-0-05</t>
  </si>
  <si>
    <t>Confirm no non-equivalent points exist?</t>
  </si>
  <si>
    <t>IMP-6-0-0-06</t>
  </si>
  <si>
    <t>Confirm all unmapped compare points have been peer reviewed and annotated with a waiver/explanation?</t>
  </si>
  <si>
    <t>IMP-6-0-0-07</t>
  </si>
  <si>
    <t>Confirm "set flatten model -library_pin_verification" in LEC flow.</t>
  </si>
  <si>
    <t xml:space="preserve"> 7.0 - INNOVUS DESIGN IN CHECK (GENERAL FOR ALL IPS)</t>
  </si>
  <si>
    <t>IMP-7-0-0-00</t>
  </si>
  <si>
    <t>Block name  (e.g: cdn_hs_phy_data_slice)</t>
  </si>
  <si>
    <t>IMP-7-0-0-01</t>
  </si>
  <si>
    <t>Confirm the netlist/constraint version is correct. 
For MIG program, list FEI release package name in comment.</t>
  </si>
  <si>
    <t>IMP-7-0-0-02</t>
  </si>
  <si>
    <t>Confirm no ERROR message during read constraints.</t>
  </si>
  <si>
    <t>IMP-7-0-0-03</t>
  </si>
  <si>
    <t>Confirm all Warning messages during read constraints can be waived.</t>
  </si>
  <si>
    <t>IMP-7-0-0-04</t>
  </si>
  <si>
    <t>Confirm no issue for check_timing (all modes) in Innovus.</t>
  </si>
  <si>
    <t>IMP-7-0-0-05</t>
  </si>
  <si>
    <t>Confirm no issue for check_design in Innovus.</t>
  </si>
  <si>
    <t>IMP-7-0-0-06</t>
  </si>
  <si>
    <t>Confirm the preserve cell list of all modes(Func/DFT/etc) are added to don’t touch list if design have.</t>
  </si>
  <si>
    <t>IMP-7-0-0-07</t>
  </si>
  <si>
    <t>Confirm UPF/CPF is delivered for Low Power Checks.(Fill N/A if no UPF is needed)</t>
  </si>
  <si>
    <t xml:space="preserve"> 8.0 - PHYSICAL IMPLEMENTATION CHECK  (GENERAL FOR ALL IPS)</t>
  </si>
  <si>
    <t>IMP-8-0-0-00</t>
  </si>
  <si>
    <t>Confirm block orientation matches to addendum(NS/EW).</t>
  </si>
  <si>
    <t>IMP-8-0-0-01</t>
  </si>
  <si>
    <t>Confirm all ports are assigned on metal track.</t>
  </si>
  <si>
    <t>IMP-8-0-0-02</t>
  </si>
  <si>
    <t>Confirm all ports status are Fixed.</t>
  </si>
  <si>
    <t>IMP-8-0-0-03</t>
  </si>
  <si>
    <t>Confirm routing blockages are created around the block edges.</t>
  </si>
  <si>
    <t>IMP-8-0-0-04</t>
  </si>
  <si>
    <t>Confirm buffers are attached for all ports and are set as fixed.</t>
  </si>
  <si>
    <t>IMP-8-0-0-05</t>
  </si>
  <si>
    <t xml:space="preserve">Confirm the power switches connection is correct . (for non-PSO, please fill N/A) </t>
  </si>
  <si>
    <t>IMP-8-0-0-06</t>
  </si>
  <si>
    <t xml:space="preserve">Confirm the switch power pin is not in lef . (for non-PSO, please fill N/A) </t>
  </si>
  <si>
    <t>IMP-8-0-0-07</t>
  </si>
  <si>
    <t>Confirm no Frontend(base layer) DRC violations.</t>
  </si>
  <si>
    <t>IMP-8-0-0-08</t>
  </si>
  <si>
    <t>Confirm max routing layer is correct. Provide max routing layer value in comment field.</t>
  </si>
  <si>
    <t>IMP-8-0-0-09</t>
  </si>
  <si>
    <t>Confirm we take care of the dynamic power optimization in the whole innovs flow(Check the Note)</t>
  </si>
  <si>
    <t>IMP-8-0-0-10</t>
  </si>
  <si>
    <t>Confirm you placed the discrete synchronizer flops close to each other (distance &lt;= 10um) for process without dedicated 2/3 stage synchronizer library cell like TSMC. Make sure “no buffering on the Q-&gt;D path between sync flops” for the sync_regs falling under same hierarchy. Please fine tune clock tree for hold fixing. Please don't change the VT of synchronizer flops. (Check the Note. Fill N/A for library has 2/3 stages dedicated library cell)</t>
  </si>
  <si>
    <t>IMP-8-0-0-11</t>
  </si>
  <si>
    <t>Confirm the design didn't use any don’t use cell of foundry and don’t_use cell list includes forbidden cells from IMP-1-0-0-02.</t>
  </si>
  <si>
    <t>IMP-8-0-0-12</t>
  </si>
  <si>
    <t>Confirm no inputs are tied directly to the power rails (VDD/VSS) by using Tiehigh/Tielow cells(check the Note)</t>
  </si>
  <si>
    <t>stable/final</t>
  </si>
  <si>
    <t>IMP-8-0-0-13</t>
  </si>
  <si>
    <t>Confirm proper clock tree buffer/inverter types are used. Provide a list in comment field.</t>
  </si>
  <si>
    <t>IMP-8-0-0-14</t>
  </si>
  <si>
    <t xml:space="preserve">Confirm no VT mixing on clock tree for all modes. For some instances has clock attribute but used as data, please list that into Waiver list. </t>
  </si>
  <si>
    <t>IMP-8-0-0-15</t>
  </si>
  <si>
    <t>Confirm clock tree VT requirements were met.</t>
  </si>
  <si>
    <t>IMP-8-0-0-16</t>
  </si>
  <si>
    <t>Confirm clock tree transitions meet requirement.</t>
  </si>
  <si>
    <t>IMP-8-0-0-17</t>
  </si>
  <si>
    <t>Confirm clock tree latency requirements were met across all corners. Provide values in comments field.</t>
  </si>
  <si>
    <t>IMP-8-0-0-18</t>
  </si>
  <si>
    <t>Confirm clock tree skew requirements are met.</t>
  </si>
  <si>
    <t>IMP-8-0-0-19</t>
  </si>
  <si>
    <t>Confirm all multiflop synchronizer registers are the intended celltype and VT type upon which MTBF was calculated.</t>
  </si>
  <si>
    <t>IMP-8-0-0-20</t>
  </si>
  <si>
    <t>Confirm that all the multiflop synchronizer registers are placed close together and their clock pin connected to the same leaf buffer/inverter of the clock tree?</t>
  </si>
  <si>
    <t>IMP-8-0-0-21</t>
  </si>
  <si>
    <t>If required, antenna diodes were added at the block/IP inputs.</t>
  </si>
  <si>
    <t>IMP-8-0-0-22</t>
  </si>
  <si>
    <t>Confirm buffers were added close to each I/O and macro port.</t>
  </si>
  <si>
    <t>IMP-8-0-0-23</t>
  </si>
  <si>
    <t>confirm no unplaced cells in design.</t>
  </si>
  <si>
    <t>IMP-8-0-0-24</t>
  </si>
  <si>
    <t>Confirm no assign in release netlist.</t>
  </si>
  <si>
    <t>IMP-8-0-1-00</t>
  </si>
  <si>
    <t>Confirm the BUMP DRC rule deck setting is correct.</t>
  </si>
  <si>
    <t>PHY-CHIP</t>
  </si>
  <si>
    <t>IMP-8-0-1-01</t>
  </si>
  <si>
    <t>Confirm no BUMP rule violation or can be waived by the client or internal package team.</t>
  </si>
  <si>
    <t>IMP-8-0-1-02</t>
  </si>
  <si>
    <t>Confirm no RDL DRC violation.</t>
  </si>
  <si>
    <t>IMP-8-0-1-03</t>
  </si>
  <si>
    <t>Confirm TCD(FETCD/BETCD) cells are inserted based on foundry requirement.</t>
  </si>
  <si>
    <t>IMP-8-0-1-04</t>
  </si>
  <si>
    <t xml:space="preserve">Confirm refer to Fab recommendation and requirement to insert  ESD cell for core violtage . </t>
  </si>
  <si>
    <t>IMP-8-0-1-05</t>
  </si>
  <si>
    <t xml:space="preserve">Confirm ESD cell power pins are connected to always on power net.  In general, it's not allowed to add ESD clamps to VDDG power gated domain. If customer request that, please review that with ESD experts about the wake-up time requirement etc for this special case and request approval from PD/AMS top management. </t>
  </si>
  <si>
    <t>IMP-8-0-1-06</t>
  </si>
  <si>
    <t xml:space="preserve">Confirm that set "don't touch" is applied to all high voltage nets inside core power domain which can't be buffered with core cells (ex: VDD*GONE net in DDR PHY) </t>
  </si>
  <si>
    <t>IMP-8-0-1-07</t>
  </si>
  <si>
    <t xml:space="preserve">Confirm that proper NDR rule is applied to all high voltage nets inside core power domain to avoid HV spacing DRC violations (ex: VDD*GONE net in DDR PHY) </t>
  </si>
  <si>
    <t>IMP-8-0-1-08</t>
  </si>
  <si>
    <t>Confirm set "don't touch" is applied to all Analog Test Bus (ATB*) and any other analog signals which can't be buffered.</t>
  </si>
  <si>
    <r>
      <t xml:space="preserve"> 8.1 - PHYSICAL IMPLEMENTATION CHECK (</t>
    </r>
    <r>
      <rPr>
        <b/>
        <sz val="10"/>
        <color rgb="FFFF0000"/>
        <rFont val="Calibri"/>
        <family val="2"/>
        <scheme val="minor"/>
      </rPr>
      <t>ONLY FOR MIG</t>
    </r>
    <r>
      <rPr>
        <b/>
        <sz val="10"/>
        <color theme="1"/>
        <rFont val="Calibri"/>
        <family val="2"/>
        <scheme val="minor"/>
      </rPr>
      <t xml:space="preserve"> HSPHY/HPPHY/DFPHY/GDDRPHY)</t>
    </r>
  </si>
  <si>
    <t>MIG-IMP-8-1-0-00</t>
  </si>
  <si>
    <t>Confirm followed the general slice top metal and top routing layer spec. (check the Note)</t>
  </si>
  <si>
    <t>HSPHY/HPPHY</t>
  </si>
  <si>
    <t>subblock</t>
  </si>
  <si>
    <t>MIG-IMP-8-1-0-01</t>
  </si>
  <si>
    <t>Confirm all bit slice ports which connect to IO are assigned at the same side close to IO.</t>
  </si>
  <si>
    <t>MIG-IMP-8-1-0-02</t>
  </si>
  <si>
    <t>Confirm the delay element and read entry flops are ULVT type for DDR5/LPDDR5 whose date rate is 4400Mbps and above.(check the Note)</t>
  </si>
  <si>
    <t>MIG-IMP-8-1-0-03</t>
  </si>
  <si>
    <t>Confirm max D4 loading can be drove by DA cell and place loading instance close to DA cell(check the Note)</t>
  </si>
  <si>
    <t>MIG-IMP-8-1-0-04</t>
  </si>
  <si>
    <t>Confirm there are no gaps for delay element placement for both NS and EW orientation. Best practice is to place delay element by vertical direction for EW slies. Building PG into EW delay element is another choice to avoid gaps between delay elements.  Pay attention to try our best to keep same driven strenght along the READ/WRITE/LPBK path during the DCD fixing (post DQ clock divider).</t>
  </si>
  <si>
    <t>MIG-IMP-8-1-0-05</t>
  </si>
  <si>
    <t xml:space="preserve">Confirm place the cells from delayElement0 to DL of each delay line closely and don't touch the net/cell on these paths. </t>
  </si>
  <si>
    <t>MIG-IMP-8-1-0-06</t>
  </si>
  <si>
    <t>Confirm NO analog module (such as DA) is put in the middle of manual added inverter pairs in DCD path improvement activities.</t>
  </si>
  <si>
    <t>MIG-IMP-8-1-0-07</t>
  </si>
  <si>
    <t>Confirm placed the mimic delay cell related paths (from delay line output to DL IE/IL pins) carefully. (check the Note)</t>
  </si>
  <si>
    <t>MIG-IMP-8-1-0-08</t>
  </si>
  <si>
    <t xml:space="preserve">Confirm you use the same VT and cell type(clock cell)  as that on read DQS path to balance read DQ/DQS skew. Treat DQ read path as clock path.  </t>
  </si>
  <si>
    <t>MIG-IMP-8-1-0-09</t>
  </si>
  <si>
    <t>Confirm the delay element design name and sub-module name are uniquified. Make sure there is not same module name for difference slices. For example, add "_ACS" and "_ACM" postfix to delay element design name and sub-module name for ACS and ACM block.</t>
  </si>
  <si>
    <t>MIG-IMP-8-1-0-10</t>
  </si>
  <si>
    <t>Confirm followed the custom and Regulator cell integration guide in custom cell delivery package. Please review the regulator physical design with AMS team.Please place the write path DA cell close to IO port and don't insert the buffers/inverter between DCC loop and data out mux select pin. (Check the Note)</t>
  </si>
  <si>
    <t>HPPHY</t>
  </si>
  <si>
    <t>MIG-IMP-8-1-0-11</t>
  </si>
  <si>
    <t>Confirm the XTC crosstalk connection is correct for the DDRIO has *XTC ports. (Check the Note)</t>
  </si>
  <si>
    <t>MIG-IMP-8-1-0-12</t>
  </si>
  <si>
    <t xml:space="preserve">Confirm there is no buffers/inverters inserted on the VDDR_OBS/VDDR_1UI_OBS/VDDR_6UI_OBS/ATB0_REG_OBS/ATB1_REG_OBS nets from regulator to feedback IO. And make sure the net resistance less than 500ohms. For 1UI+6UI case, if the 1UI or 6UI connected to two FBIOs, make sure the path from the regulator to the near FBIO resistance less than 500ohms. For regulator to the far FBIO path, the resistance can be relaxed. Check with AMS team if you have further questions. </t>
  </si>
  <si>
    <t>MIG-IMP-8-1-0-13</t>
  </si>
  <si>
    <t>Confirm "is_macro_cell : true ;" is specified for regulator cells in regulator lib file and the regulator pin connection is correct.(NSLEEP_IN and other input pins are not tied to 0. Fille N/A if there is no Regulator in your design)</t>
  </si>
  <si>
    <t>MIG-IMP-8-1-0-14</t>
  </si>
  <si>
    <t xml:space="preserve">Confirm clock latency (EFG paths) meet requirement for timing budget. Put the delay from DESKEW PLL to slice register CK(E) and pad_mem* (F+G) to comment collomn (target SS corner delay &lt; 800ps). </t>
  </si>
  <si>
    <t>HSPHY/HPPHY/DFPHY</t>
  </si>
  <si>
    <t>MIG-IMP-8-1-0-15</t>
  </si>
  <si>
    <t>Confirm reorder VDD*GONE connection based on IO sequence unless it's took care by custom layout.</t>
  </si>
  <si>
    <t>HSPHY/HPPHY/DFPHY/GDDR</t>
  </si>
  <si>
    <t>MIG-IMP-8-1-0-16</t>
  </si>
  <si>
    <t xml:space="preserve">Confirm all the 3 NAND cells of clock mux in both PHY_TOP and Slice level are placed closely (distance &lt;= 10um) and there is NO buffer/inverters inserted between the nand0/nand1 and nand2. </t>
  </si>
  <si>
    <t>MIG-IMP-8-1-0-17</t>
  </si>
  <si>
    <t xml:space="preserve">Confirm there is no dummy metal/via added inside DDRIO. For furture programs, DDRIO will include the dummy metal/via EXCL layers inside IO so PD don't need to do anything. For currrent ongoing project, please check whether there are EXCL layers in DDRIO and create dummy EXCL on IO area if IO cells don't have EXCL layers in gds. </t>
  </si>
  <si>
    <t>MIG-IMP-8-1-1-00</t>
  </si>
  <si>
    <t xml:space="preserve">Please confirm the below items one by one (check the Note)，
1. Confirm VDD/VDDQ/VDDQX additional Dcap value meet the performance requirement.
2. For LPDDR5 and LP5 combo, place RST/CKE pads to VDDQX domain. 
3. For CS pad, if CS/CKE swap logic is implemented (only for LP5/4X combo, CS type will be se_txrx), the CS pad should be placed in VDDQ domain. If CS/CKE swap logic is not implemented (LP5 mode,cs type will be se_cs_txrx), the CS pad should be placed in VDDQX domain. 
4. ATB pad can be put into VDDQX domain in general for LP5 and LP5 combo case. Please check with AMS team. 
5. Please connect the CKE/RST/CS region vddq decap to VDDQX power net. For VDD decap, please add that to VDD_ISO instead of VDD for LPDDR5 project using ddr800 Gen3IO. 
6. For LP4X, place CKE/RESET into VDDQX IO domain. 
</t>
  </si>
  <si>
    <t>MIG-IMP-8-1-1-01</t>
  </si>
  <si>
    <t>Confirm meet a resistance less than 0.5Ω(not exceed 0.8Ω) and a capacitance less than 350fF from pad opening to signal bump. (check the Note)</t>
  </si>
  <si>
    <t>MIG-IMP-8-1-1-02</t>
  </si>
  <si>
    <t>Confirm NO special VDDCK bump for PAD memory clock domain IO,should share the VDD bump from other core logic.</t>
  </si>
  <si>
    <t>MIG-IMP-8-1-1-03</t>
  </si>
  <si>
    <t>Confirm with IO designer whether the IO is Gen1 IO or Gen2 IO or Gen3 IO.(check the Note)</t>
  </si>
  <si>
    <t>MIG-IMP-8-1-1-04</t>
  </si>
  <si>
    <t>Confirm the VDDQX bumps are assigned correctly. Exactly follow the "Memory Type" collum information. (check the Note)</t>
  </si>
  <si>
    <t>MIG-IMP-8-1-1-05</t>
  </si>
  <si>
    <t>Confirm assign VDDQ_AO for CKE/RST IO region if data retention "CKE/RST always on enabled" is specified in addendum. And place the CKE/RST domain IOs correctly. For DDR5 application,CS pad will be used to replace CKE and should be put into VDDQ_AO IO domain too. (check the Note)</t>
  </si>
  <si>
    <t>MIG-IMP-8-1-1-06</t>
  </si>
  <si>
    <t xml:space="preserve">Make sure take care the PERC concern during  the VDDQ and VDDQ_CK bump assignment and PG integration for LPDDR5 as VDDQ and VDDQ_CK are core voltage and the P2P resistance requirement is 0.1ohm which is tight. </t>
  </si>
  <si>
    <t>MIG-IMP-8-1-1-07</t>
  </si>
  <si>
    <t>Confirm use cdns_ddr_vddq_ck_v/h (with double clamp and If exist in current DDRIO library) instead of cdns_ddr_vddq_v/h in memclk region for better ESD protection of VDDQ_CK domain. (Fill N/A if this cell doesn’t exist)</t>
  </si>
  <si>
    <t>MIG-IMP-8-1-1-08</t>
  </si>
  <si>
    <t>Confirm follow the "Gen* I/O VREF and ESD Insertion Rule" in implementation guide AND DDRIO datasheet for IO planning. Please sent the IO order to AMS team to review if you are not that sure. (check the Note)</t>
  </si>
  <si>
    <t>MIG-IMP-8-1-1-09</t>
  </si>
  <si>
    <t>confirm place the DESKEW PLL to the slice notch between two adjacent dataslices for LPDDR5 design with 32 or more bits to make the path delay from deskew pll to DQ/DQS write path smaller (better system budget).</t>
  </si>
  <si>
    <t>MIG-IMP-8-1-1-10</t>
  </si>
  <si>
    <t>Confirm the IO order and IO orientation are same as that in the IO order excel table which was reviewed by AMS team or specified by Customer (Like Renesas FIRM PHY project). If you changed the IO order or IO orientation due to DRC or design closure, please make sure review and confirm that with AMS or customer again.</t>
  </si>
  <si>
    <t>MIG-IMP-8-1-1-11</t>
  </si>
  <si>
    <t>Confirm the bump assignment is sync with and agreed with the client or internal package team. And make sure the bump map sent to customer is same as that in final database.</t>
  </si>
  <si>
    <t>MIG-IMP-8-1-1-12</t>
  </si>
  <si>
    <t>Confirm reset_n_pad (cdns_ddr_se_r_txrx_h) IO VDD_AO pin must be connected to always-on VDD.</t>
  </si>
  <si>
    <t>MIG-IMP-8-1-1-13</t>
  </si>
  <si>
    <r>
      <t xml:space="preserve">Confirm you have build the shortest clock tree to SOC level SRAM interface clock ports for Dragonfly LP/DDR5 PHY and build shortest tree to phy_pclk_out for Dragonfly DDR5 PHY. (Fill N/A for HPPHY)
         -For Dragonfly Automotive LPPHY , build shortest clock tree from phy_pclk input port to phy_uc_IRam0CLK and phy_uc_DRam00CLK output ports.
         -For Dragonfly DDR5, build shortest clock tree from clk_ctlr_sync input port to phy_pclk_div_out output port.
         -For Dragonfly DDR5, as controller will use phy_pclk_out as clock source, please build shortest tree from clk_ctlr_sync input port to phy_pclk_out output port. To achieve this, you need to place the top DESKEW PLL close to DFI boundary. </t>
    </r>
    <r>
      <rPr>
        <b/>
        <sz val="10"/>
        <color theme="1"/>
        <rFont val="Calibri"/>
        <family val="2"/>
        <scheme val="minor"/>
      </rPr>
      <t xml:space="preserve">As current DFPHY bump plan is handled by AMS team, please pay attention to the top DESKEW PLL bump location which needs to be assigned near to DFI boundary. </t>
    </r>
    <r>
      <rPr>
        <sz val="10"/>
        <color theme="1"/>
        <rFont val="Calibri"/>
        <family val="2"/>
        <scheme val="minor"/>
      </rPr>
      <t xml:space="preserve">
Also, please optimize the SRAM interface data path(in2reg/reg2out related to phy_uc* ports) with tighter interface constraint and well balanced clock tree for these SRAM related registers to reserve more margin on SRAM path delay on SOC side.</t>
    </r>
  </si>
  <si>
    <t>DFPHY</t>
  </si>
  <si>
    <t>MIG-IMP-8-1-1-14</t>
  </si>
  <si>
    <t>Confirm you created VDD_AO power pin for data retention function of Dragonfly PHY. At the same time, create PHY VDD pin close to PHY VDD_AO pin using same layer and output the PHY VDD and PHY VDD_AO pins to LEF.  (Fill N/A if you confirmed with customer that they will not turn off the PHY VDD and this PHY will not be reused for other projects which may turn off the PHY VDD externally)</t>
  </si>
  <si>
    <t>MIG-IMP-8-1-1-15</t>
  </si>
  <si>
    <t>Confirm you follow the below implementation guidance related to data_retention and VDDA_AO for GDDR6/GDDR7.
         -For GDDR6 Gen1 (old architecture), connect the data_retention pin  to CMN CORE_VDDGONE directly with shortest distance (please review the transition with AMS team) and don't insert any buffer on data_retention path as there is no VDD always supply in core area. GDDR6 gen1 will not have VDDA_AO supply and VDDA on HM will be always on in data_retention mode.
         -For GDDR6 new architecture or GDDR7, there will be VDDA_AO bump (please double check with AMS team if there is no VDDA_AO bump), PD need to add data_retention  buffers(insert data_retention buffer to PHY boundary also)  powered by VDDA_AO.</t>
  </si>
  <si>
    <t>GDDRPHY</t>
  </si>
  <si>
    <t>MIG-IMP-8-1-1-16</t>
  </si>
  <si>
    <t>For DDR5/DDR4 MCI 80bit PHY implementaton (Check the Note), 
        For HPPHY: group DS0~3 together with DS8-ECC and group DS4~7 together with DS9-ECC, put DS8/DS9 close to CA.
        For Dragonfly DDR5 PHY: DS4 is used for Channel A ECC data while DS9 is used for the Channel B ECC data. There is no special rule requirement as HPPHY and please place them in order based on each channel.</t>
  </si>
  <si>
    <t>HPPHY/DFPHY</t>
  </si>
  <si>
    <t>MIG-IMP-8-1-1-17</t>
  </si>
  <si>
    <t>Confirm the PG connection of Deskew PLL is correct and the PG resistance meet the integration guide. (check the Note)</t>
  </si>
  <si>
    <t>MIG-IMP-8-1-1-18</t>
  </si>
  <si>
    <t>Confirm the correct bump naming rule VDDAPLL_* for high voltage pin VDDA of dual rail Deskew PLL (check the Note)</t>
  </si>
  <si>
    <t>MIG-IMP-8-1-1-19</t>
  </si>
  <si>
    <t xml:space="preserve">Confirm use the clock inverters and set NDR routing to the paths from PLL TESTOUT and OBS out.  
           For HPPHY: the paths are from DESKEW PLL to pll_testout pad input pins or pll_testout DFI interface pins.
           For Dragonfly LPPHY: the paths are from PLL_clk_obs_out(DS/AS HM)-&gt; phy_obs_pll_clk(phy_top) and PLL_refclk_obs_out(DS/AS HM)-&gt;phy_obs_pll_refclk(phy_top)
           For Dragonfly DDR5 PHY: the paths are 
                         :  from top deskew PLL(phy_top)-&gt;pll_refclk_testout_top_pll/pll_testout_top_pll(phy_top) 
                         :  from PLL_clk_obs_out(DS HM)-&gt;pll_testout_ds*_pll(phy_top), PLL_refclk_obs_out(DS HM)-&gt;pll_refclk_testout_ds*_pll(phy_top)
                         :  from PLL_clk_obs_out(cmn_cas)-&gt;pll_testout_cmn_pll(phy_top),PLL_refclk_obs_out(cmn_cas)-&gt;pll_refclk_testout_cmn_pll(phy_top) 
                         :  from CMN_clk_obs_out(cmnhm)-&gt; CMN_clk_obs_out(phy_top)
            For tv_chip level: Do similar things to paths which are for FRACN-PLL/DESKEW-PLL clock testing or observing. </t>
  </si>
  <si>
    <t>MIG-IMP-8-1-1-20</t>
  </si>
  <si>
    <t>Confirm the Deskew PLL CKFB connecte to FOUTP directly without buffers. (check the Note)</t>
  </si>
  <si>
    <t>MIG-IMP-8-1-1-21</t>
  </si>
  <si>
    <t>Confirm dfi interface registers are placed close to DFI interface pins and make the DFI interface input/output clock/datapath shortest with minumum skew (If the project is dragonfly DDR5 and controller will use PHY phy_pclk_out, please don't build shortest clock tree for DFI interface register clocks. You can balance DFI interface clock tree with internal clock tree or a little larger than internal clock tree). Build separate clock tree to DFI regsiters. One is for input registers, the other is for output registers. And the input clock tree need to be balanced with output clock tree.(check the Note)</t>
  </si>
  <si>
    <t>MIG-IMP-8-1-1-22</t>
  </si>
  <si>
    <t>Confirm place the cdn_hs_phy/inst_scan_dly module close to PHY interface pins and create separate clock tree to these retime scan registers if your design is based on HSPHY 2022Q1 or later branch and need to support ETM timing signoff. Objective is to make the scan related interface data/clock paths simpler and reduce the slack difference between flatten and ETM model. For DFPHY,current design has not sperated inst_scan_dly module, so please place the  seperate “*scan_dly*” registers that belong to a in2reg/reg2out path close to PHY ports similarly. (Fill N/A if design has not this module)</t>
  </si>
  <si>
    <t>MIG-IMP-8-1-1-23</t>
  </si>
  <si>
    <t>Confirm add at least 2 ESD clamps cells for each power domain. For example: VDDPLL*/VDD_AO. Follow the guidance in AMS integration guide specified in  Notes. (for Intel process, need more clamps, please double check with ESD experts)</t>
  </si>
  <si>
    <t>MIG-IMP-8-1-1-24</t>
  </si>
  <si>
    <t>Confirm Deskew/FRAC PLL(All power domains) Dcap meet the system requirement. (e.g: 100pf per deskew/fracN pll each power domain for 6400Mbps, Please check the Notes for decap number for each PLL power domain based on data rate). Follow the guidance in AMS integration guide specified in Notes.</t>
  </si>
  <si>
    <t>MIG-IMP-8-1-1-25</t>
  </si>
  <si>
    <t>Confirm follow the datasheet and implementation guide of IP blocks(DDRIO/PLL/Noisegen/GPIO etc).  (check the Note)</t>
  </si>
  <si>
    <t>MIG-IMP-8-1-1-26</t>
  </si>
  <si>
    <t>Confirm assigned VDD_AO bump or create VDD_AO dedicated power supply from SOC side to VDD_AO  pin of internal data_retention pad depends on the communication with customer side if "Does customer intend to shutoff VDD externally" is yes in pre2post checklist and "power gating" is no in addendum. (check the Note)
            Pay attention to assign dedicated ESD cells to VDD_AO supply to make sure there is no ESD issue if VDD_AO bump is assigned. 
            Make sure the data_retention signal path from SOC side is always on ( not powered by PHY VDD as that can be shut off externally) 
            Make sure the related_power_pin of data_retention signal in lib files should be VDD_AO.</t>
  </si>
  <si>
    <t>MIG-IMP-8-1-1-27</t>
  </si>
  <si>
    <t>Confirm meet the decap requirement in die model checklist. (Check the Notes)</t>
  </si>
  <si>
    <t>MIG-IMP-8-1-1-28</t>
  </si>
  <si>
    <t>Confirm the scan pins are assigned to be interleaved for PHY_TOP delivery. (check the Note)</t>
  </si>
  <si>
    <t>MIG-IMP-8-1-1-29</t>
  </si>
  <si>
    <t>For test chip, pay attention to the digital process moniter implementation guide. (Check the guide in Notes)</t>
  </si>
  <si>
    <t>MIG-IMP-8-1-1-30</t>
  </si>
  <si>
    <t>Confrim add VDDQ/VDD decaps for DDRIO in test chip tv_chip level(Follow same decap insertion guidance in PHY implementation guide).</t>
  </si>
  <si>
    <t>MIG-IMP-8-1-1-31</t>
  </si>
  <si>
    <t>Confirm data retention IO VDD_AO pin must be connected to always-on VDD (mark N/A only when data_retention pad doesn't exist)”</t>
  </si>
  <si>
    <t>MIG-IMP-8-1-1-32</t>
  </si>
  <si>
    <t>Confirm I/O voltage signal "DR_VALUE_HV/DR_EN_HV/VDDGONE*_HV/TIE*_HV/ATB*_HV" does not connect to VDD voltage device.</t>
  </si>
  <si>
    <t>MIG-IMP-8-1-2-00</t>
  </si>
  <si>
    <r>
      <rPr>
        <b/>
        <sz val="10"/>
        <color theme="1"/>
        <rFont val="Calibri"/>
        <family val="2"/>
        <scheme val="minor"/>
      </rPr>
      <t>[BRCM special]</t>
    </r>
    <r>
      <rPr>
        <sz val="10"/>
        <color theme="1"/>
        <rFont val="Calibri"/>
        <family val="2"/>
        <scheme val="minor"/>
      </rPr>
      <t xml:space="preserve">
Confirm use pin blockage def for pin assignment for BRCM projects (for non-BRCM projects, please fill N/A)
The pin def information is in /projects/workbench/versions/BRCM/pin_blockage_def/BRCM_Pin_Placement_DEF_release_notes.pdf</t>
    </r>
  </si>
  <si>
    <t>MIG-IMP-8-1-2-01</t>
  </si>
  <si>
    <r>
      <rPr>
        <b/>
        <sz val="10"/>
        <color theme="1"/>
        <rFont val="Calibri"/>
        <family val="2"/>
        <scheme val="minor"/>
      </rPr>
      <t>[BRCM special]</t>
    </r>
    <r>
      <rPr>
        <sz val="10"/>
        <color theme="1"/>
        <rFont val="Calibri"/>
        <family val="2"/>
        <scheme val="minor"/>
      </rPr>
      <t xml:space="preserve">
Confirm the BRCM don’t_use cell list is correct. Pay attention that the BRCM don’t use list is keeping change. Please check whether you follow the latest one.(The BRCM don’t use file in workbench is based on old program and you need to overwrite or update that per project.)
Latest BRCM dont_use cell list can be found in below path:
N7: /process/tsmcN7/data/stdcell/tsmc/n7gp/BRCM/MISC_n7gp/docs/dont_use.info.latest
N5: /process/tsmcN5/data/stdcell/n5/BRCM/MISC_BRCM_n5/docs/dont_use.info.latest</t>
    </r>
  </si>
  <si>
    <t>MIG-IMP-8-1-2-02</t>
  </si>
  <si>
    <r>
      <rPr>
        <b/>
        <sz val="10"/>
        <color theme="1"/>
        <rFont val="Calibri"/>
        <family val="2"/>
        <scheme val="minor"/>
      </rPr>
      <t>[BRCM special]</t>
    </r>
    <r>
      <rPr>
        <sz val="10"/>
        <color theme="1"/>
        <rFont val="Calibri"/>
        <family val="2"/>
        <scheme val="minor"/>
      </rPr>
      <t xml:space="preserve">
Confirm no issue for the BRCM speical ARC rule check related to AP PAD enclosure (double check the setting in Note). Also check with PM about the latest rule deck version. Below paths are just for your reference. 
/process/tsmcN5/data/g_brcm/CALIBRE/DRC/23Mar2023/3stars_DRC_BRCM_5nm_AP_PAD_ENCLOSURE/sourceme
/process/tsmcN7/data/gp/CALIBRE/DRC/28Mar2023/3stars_DRC_BRCM_7nm_AP_PAD_ENCLOSURE/sourceme
</t>
    </r>
  </si>
  <si>
    <t>MIG-IMP-8-1-3-00</t>
  </si>
  <si>
    <r>
      <rPr>
        <b/>
        <sz val="10"/>
        <color theme="1"/>
        <rFont val="Calibri"/>
        <family val="2"/>
        <scheme val="minor"/>
      </rPr>
      <t>[MIG-WB-Tracking]</t>
    </r>
    <r>
      <rPr>
        <sz val="10"/>
        <color theme="1"/>
        <rFont val="Calibri"/>
        <family val="2"/>
        <scheme val="minor"/>
      </rPr>
      <t xml:space="preserve">
Confirm the workbench flow you are using. (Current latest one: /projects/workbench/versions/workbench_v0.8)
Put the workbench flow dir in Comment and specify the reason why you don’t use the central workbench flow.
The reason maybe as belows,
           -This process is new and not covered by the central workbench flow.
           -ECO based on old programs.</t>
    </r>
  </si>
  <si>
    <t>MIG-IMP-8-1-3-01</t>
  </si>
  <si>
    <r>
      <rPr>
        <b/>
        <sz val="10"/>
        <color theme="1"/>
        <rFont val="Calibri"/>
        <family val="2"/>
        <scheme val="minor"/>
      </rPr>
      <t>[MIG-WB-Tracking]</t>
    </r>
    <r>
      <rPr>
        <sz val="10"/>
        <color theme="1"/>
        <rFont val="Calibri"/>
        <family val="2"/>
        <scheme val="minor"/>
      </rPr>
      <t xml:space="preserve">
Confirm compared the difference between the workbench you used and the central workbench flow.
You can use "diff -r $your_workbench_dir /projects/workbench/versions/workbench_v0.8 &gt; workbench_difference"
Please put the below message in Comment collumn,
          -put the workbench_difference file location
          -Reason for the difference if has the difference
          -Suggestion for central workbench flow</t>
    </r>
  </si>
  <si>
    <r>
      <t xml:space="preserve"> 8.2 - PHYSICAL IMPLEMENTATION CHECK (</t>
    </r>
    <r>
      <rPr>
        <b/>
        <sz val="10"/>
        <color rgb="FFFF0000"/>
        <rFont val="Calibri"/>
        <family val="2"/>
        <scheme val="minor"/>
      </rPr>
      <t>ONLY FOR HPP</t>
    </r>
    <r>
      <rPr>
        <b/>
        <sz val="10"/>
        <color theme="1"/>
        <rFont val="Calibri"/>
        <family val="2"/>
        <scheme val="minor"/>
      </rPr>
      <t>)</t>
    </r>
  </si>
  <si>
    <r>
      <rPr>
        <sz val="10"/>
        <color rgb="FFFF0000"/>
        <rFont val="Calibri"/>
        <family val="2"/>
        <scheme val="minor"/>
      </rPr>
      <t>HPP</t>
    </r>
    <r>
      <rPr>
        <sz val="10"/>
        <color theme="1"/>
        <rFont val="Calibri"/>
        <family val="2"/>
        <scheme val="minor"/>
      </rPr>
      <t>-IMP-8-2-0-00</t>
    </r>
  </si>
  <si>
    <t>Confirm floorplan has been peer reviewed and agreed?</t>
  </si>
  <si>
    <t>HPP</t>
  </si>
  <si>
    <r>
      <rPr>
        <sz val="10"/>
        <color rgb="FFFF0000"/>
        <rFont val="Calibri"/>
        <family val="2"/>
        <scheme val="minor"/>
      </rPr>
      <t>HPP</t>
    </r>
    <r>
      <rPr>
        <sz val="10"/>
        <color theme="1"/>
        <rFont val="Calibri"/>
        <family val="2"/>
        <scheme val="minor"/>
      </rPr>
      <t>-IMP-8-2-0-01</t>
    </r>
    <r>
      <rPr>
        <sz val="11"/>
        <color theme="1"/>
        <rFont val="Calibri"/>
        <family val="2"/>
        <scheme val="minor"/>
      </rPr>
      <t/>
    </r>
  </si>
  <si>
    <t>Confirm area and density targets were met?</t>
  </si>
  <si>
    <r>
      <rPr>
        <sz val="10"/>
        <color rgb="FFFF0000"/>
        <rFont val="Calibri"/>
        <family val="2"/>
        <scheme val="minor"/>
      </rPr>
      <t>HPP</t>
    </r>
    <r>
      <rPr>
        <sz val="10"/>
        <color theme="1"/>
        <rFont val="Calibri"/>
        <family val="2"/>
        <scheme val="minor"/>
      </rPr>
      <t>-IMP-8-2-0-02</t>
    </r>
    <r>
      <rPr>
        <sz val="11"/>
        <color theme="1"/>
        <rFont val="Calibri"/>
        <family val="2"/>
        <scheme val="minor"/>
      </rPr>
      <t/>
    </r>
  </si>
  <si>
    <t>Confirm power goals are met in all modes (Functional &amp; DFT) and corners using an activity file representative of each mode generated by Gate Level Simulation (GLS) on post PNR netlist?</t>
  </si>
  <si>
    <r>
      <rPr>
        <sz val="10"/>
        <color rgb="FFFF0000"/>
        <rFont val="Calibri"/>
        <family val="2"/>
        <scheme val="minor"/>
      </rPr>
      <t>HPP</t>
    </r>
    <r>
      <rPr>
        <sz val="10"/>
        <color theme="1"/>
        <rFont val="Calibri"/>
        <family val="2"/>
        <scheme val="minor"/>
      </rPr>
      <t>-IMP-8-2-0-03</t>
    </r>
    <r>
      <rPr>
        <sz val="11"/>
        <color theme="1"/>
        <rFont val="Calibri"/>
        <family val="2"/>
        <scheme val="minor"/>
      </rPr>
      <t/>
    </r>
  </si>
  <si>
    <t>Were approved buffer and delay cells used for hold fixing? Provide buffer list used for hold fixing in comments field.</t>
  </si>
  <si>
    <r>
      <rPr>
        <sz val="10"/>
        <color rgb="FFFF0000"/>
        <rFont val="Calibri"/>
        <family val="2"/>
        <scheme val="minor"/>
      </rPr>
      <t>HPP</t>
    </r>
    <r>
      <rPr>
        <sz val="10"/>
        <color theme="1"/>
        <rFont val="Calibri"/>
        <family val="2"/>
        <scheme val="minor"/>
      </rPr>
      <t>-IMP-8-2-0-04</t>
    </r>
    <r>
      <rPr>
        <sz val="11"/>
        <color theme="1"/>
        <rFont val="Calibri"/>
        <family val="2"/>
        <scheme val="minor"/>
      </rPr>
      <t/>
    </r>
  </si>
  <si>
    <t>Confirm spare cells or GA fill cells were added and placed evenly across the layout?</t>
  </si>
  <si>
    <t xml:space="preserve"> 9.0 - RC EXTRACTION CHECK (GENERAL FOR ALL IPS)</t>
  </si>
  <si>
    <t>IMP-9-0-0-00</t>
  </si>
  <si>
    <t>Confirm SPEF extaction includes dummy metal gds.</t>
  </si>
  <si>
    <t>IMP-9-0-0-01</t>
  </si>
  <si>
    <t>Confirm QRC layer mapping and qrcTechFiles used are correct.</t>
  </si>
  <si>
    <t>IMP-9-0-0-02</t>
  </si>
  <si>
    <t>Confirm SPEF extraction includes NDR rule lef file.</t>
  </si>
  <si>
    <t>IMP-9-0-0-03</t>
  </si>
  <si>
    <t>Confirm no ERROR message in the QRC log files.</t>
  </si>
  <si>
    <t>IMP-9-0-0-04</t>
  </si>
  <si>
    <t xml:space="preserve">Confirm no physically open nets in QRC imcomplete net report. </t>
  </si>
  <si>
    <t>IMP-9-0-0-05</t>
  </si>
  <si>
    <t>Confirm proper Quantus version is used for RC extraction(match to or mature than Foundry recommended Quantus version)</t>
  </si>
  <si>
    <t>IMP-9-0-0-06</t>
  </si>
  <si>
    <t>Confirm the reuse block spef generation QRC version is same as your top level QRC version. If there is qrcTech file version update with new tool version after slices were built and released, block level spef may need to be regenerated. You can get the slice QRC version in BE checklist or RELEASE_NOTES.</t>
  </si>
  <si>
    <t>IMP-9-0-0-07</t>
  </si>
  <si>
    <t>Confirm all Warning message in QRC log files can be waived.</t>
  </si>
  <si>
    <t xml:space="preserve"> 10.0 - STA/DCD CHECK (GENERAL FOR ALL IPS)</t>
  </si>
  <si>
    <t>IMP-10-0-0-00</t>
  </si>
  <si>
    <t>Confirm the netlist/spef version is correct.</t>
  </si>
  <si>
    <t>IMP-10-0-0-01</t>
  </si>
  <si>
    <t>Confirm there is no unresolved reference.</t>
  </si>
  <si>
    <t>IMP-10-0-0-02</t>
  </si>
  <si>
    <t>Confirm the clock uncertainty setting is correct.</t>
  </si>
  <si>
    <t>IMP-10-0-0-03</t>
  </si>
  <si>
    <t>Confirm the units in library match the units in the SDC.</t>
  </si>
  <si>
    <t>IMP-10-0-0-04</t>
  </si>
  <si>
    <t>Confirm the SDC has no ideal clock networks.</t>
  </si>
  <si>
    <t>IMP-10-0-0-05</t>
  </si>
  <si>
    <t>Confirm all clocks propegated during STA.</t>
  </si>
  <si>
    <t>IMP-10-0-0-06</t>
  </si>
  <si>
    <t>Confirm the SI setting is correct.</t>
  </si>
  <si>
    <t>IMP-10-0-0-07</t>
  </si>
  <si>
    <t>Confirm the OCV setting is correct (matches to latest foundary recommendation or addendum).</t>
  </si>
  <si>
    <t>IMP-10-0-0-08</t>
  </si>
  <si>
    <t>Confirm set the correct clock transition and data transition.</t>
  </si>
  <si>
    <t>IMP-10-0-0-09</t>
  </si>
  <si>
    <t>Confirm no SPEF annotation issue in STA.</t>
  </si>
  <si>
    <t>IMP-10-0-0-10</t>
  </si>
  <si>
    <t>Confirm check full path group timing reports (in2out/in2reg/reg2out/reg2reg/default/cgdefault).</t>
  </si>
  <si>
    <t>IMP-10-0-0-11</t>
  </si>
  <si>
    <t>Confirm the timing of all path groups is clean.</t>
  </si>
  <si>
    <t>IMP-10-0-0-12</t>
  </si>
  <si>
    <t>Confirm the max_transition check result is clean.</t>
  </si>
  <si>
    <t>IMP-10-0-0-13</t>
  </si>
  <si>
    <t>Confirm the max_capacitance check result is clean.</t>
  </si>
  <si>
    <t>IMP-10-0-0-14</t>
  </si>
  <si>
    <t>Confirm the noise/glitch check result is clean.</t>
  </si>
  <si>
    <t>IMP-10-0-0-15</t>
  </si>
  <si>
    <t>Confirm the double_clock check result is clean.</t>
  </si>
  <si>
    <t>IMP-10-0-0-16</t>
  </si>
  <si>
    <t>Confirm clock signal full swing result is clean if foundry timing signoff criteria has full swing requirement.</t>
  </si>
  <si>
    <t>IMP-10-0-0-17</t>
  </si>
  <si>
    <t>Confirm the min-pulse check result is clean.</t>
  </si>
  <si>
    <t>IMP-10-0-0-18</t>
  </si>
  <si>
    <t>Confirm the min_period check result is clean if library has min_period check.</t>
  </si>
  <si>
    <t>IMP-10-0-0-19</t>
  </si>
  <si>
    <t>Confirm meet IP special DELAY/SKEW requirement if it have.</t>
  </si>
  <si>
    <t>IMP-10-0-0-20</t>
  </si>
  <si>
    <t>Confirm no ERROR message in the STA log files or the ERROR messages can be waived.</t>
  </si>
  <si>
    <t>IMP-10-0-0-21</t>
  </si>
  <si>
    <t>Confirm all Warning message in the STA log files can be waived.</t>
  </si>
  <si>
    <t>IMP-10-0-0-22</t>
  </si>
  <si>
    <t xml:space="preserve">Confirm timing/skew/drv/mpw/noise/ect results and log files are checked based on all signoff modes and all signoff corners. </t>
  </si>
  <si>
    <t>IMP-10-0-0-23</t>
  </si>
  <si>
    <t>Confirm the DCD check is clean if the design request DCD check on some special circuits.</t>
  </si>
  <si>
    <t>IMP-10-0-0-24</t>
  </si>
  <si>
    <t>Any special timing requirement from the specifications that cannot be covered by SDC constraints are reported and reviewed? For example: DDR DQ/DQS skew check</t>
  </si>
  <si>
    <t>IMP-10-0-0-25</t>
  </si>
  <si>
    <t>Confirm check_timing report has no issue.</t>
  </si>
  <si>
    <t>IMP-10-0-0-26</t>
  </si>
  <si>
    <t>Confirm check_design report has no issue.</t>
  </si>
  <si>
    <t>IMP-10-0-0-27</t>
  </si>
  <si>
    <t>Confirm final timing review was held and all open items closed (capture the review and waiver in JIRA ticket).</t>
  </si>
  <si>
    <r>
      <t xml:space="preserve"> 10.1 - STA/DCD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</si>
  <si>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-IMP-10-1-0-00</t>
    </r>
  </si>
  <si>
    <t xml:space="preserve">Confirm the the cel list specified in library_setup/set_instance_voltage.tcl in STA environment matches to the real physical implemention for projects with regulator.  Please do local update for VDDR domain cell list in the file when needed. </t>
  </si>
  <si>
    <r>
      <rPr>
        <sz val="10"/>
        <color rgb="FFFF0000"/>
        <rFont val="Calibri"/>
        <family val="2"/>
        <scheme val="minor"/>
      </rPr>
      <t>MIG</t>
    </r>
    <r>
      <rPr>
        <sz val="10"/>
        <color theme="1"/>
        <rFont val="Calibri"/>
        <family val="2"/>
        <scheme val="minor"/>
      </rPr>
      <t>-IMP-10-1-0-01</t>
    </r>
    <r>
      <rPr>
        <sz val="11"/>
        <color theme="1"/>
        <rFont val="Calibri"/>
        <family val="2"/>
        <scheme val="minor"/>
      </rPr>
      <t/>
    </r>
  </si>
  <si>
    <t>Confirm there are no unintentional cells in VDDR domain and all cells in VDDR domain are updated to latest STA environment.</t>
  </si>
  <si>
    <r>
      <rPr>
        <sz val="10"/>
        <color rgb="FFFF0000"/>
        <rFont val="Calibri"/>
        <family val="2"/>
        <scheme val="minor"/>
      </rPr>
      <t>MIG</t>
    </r>
    <r>
      <rPr>
        <sz val="10"/>
        <color theme="1"/>
        <rFont val="Calibri"/>
        <family val="2"/>
        <scheme val="minor"/>
      </rPr>
      <t>-IMP-10-1-0-02</t>
    </r>
    <r>
      <rPr>
        <sz val="11"/>
        <color theme="1"/>
        <rFont val="Calibri"/>
        <family val="2"/>
        <scheme val="minor"/>
      </rPr>
      <t/>
    </r>
  </si>
  <si>
    <t>Confirm have provided DCD analysis team the DCD path to set DCD analysis environment in stable stage and provide final DCD paths 2 weeks before final delivery.</t>
  </si>
  <si>
    <r>
      <rPr>
        <sz val="10"/>
        <color rgb="FFFF0000"/>
        <rFont val="Calibri"/>
        <family val="2"/>
        <scheme val="minor"/>
      </rPr>
      <t>MIG</t>
    </r>
    <r>
      <rPr>
        <sz val="10"/>
        <color theme="1"/>
        <rFont val="Calibri"/>
        <family val="2"/>
        <scheme val="minor"/>
      </rPr>
      <t>-IMP-10-1-0-03</t>
    </r>
    <r>
      <rPr>
        <sz val="11"/>
        <color theme="1"/>
        <rFont val="Calibri"/>
        <family val="2"/>
        <scheme val="minor"/>
      </rPr>
      <t/>
    </r>
  </si>
  <si>
    <t>Confirm the library version is correct. STA signoff environment may not use the correct library paths. Please do local update when needed.</t>
  </si>
  <si>
    <r>
      <rPr>
        <sz val="10"/>
        <color rgb="FFFF0000"/>
        <rFont val="Calibri"/>
        <family val="2"/>
        <scheme val="minor"/>
      </rPr>
      <t>MIG</t>
    </r>
    <r>
      <rPr>
        <sz val="10"/>
        <color theme="1"/>
        <rFont val="Calibri"/>
        <family val="2"/>
        <scheme val="minor"/>
      </rPr>
      <t>-IMP-10-1-0-04</t>
    </r>
    <r>
      <rPr>
        <sz val="11"/>
        <color theme="1"/>
        <rFont val="Calibri"/>
        <family val="2"/>
        <scheme val="minor"/>
      </rPr>
      <t/>
    </r>
  </si>
  <si>
    <t xml:space="preserve">Confirm have provided verification team post-simulation related files to set post-sim environment. (TT corner,Timing violations within uncertainty, skew no impact post-sim) in stable stage and close to final version (SS/FF corners,Timing violations within uncertainty, skew violations less than 20ps) post-simulation related files 2 weeks for slices (4 weeks for phy_top) before final delivery. </t>
  </si>
  <si>
    <r>
      <rPr>
        <sz val="10"/>
        <color rgb="FFFF0000"/>
        <rFont val="Calibri"/>
        <family val="2"/>
        <scheme val="minor"/>
      </rPr>
      <t>MIG</t>
    </r>
    <r>
      <rPr>
        <sz val="10"/>
        <color theme="1"/>
        <rFont val="Calibri"/>
        <family val="2"/>
        <scheme val="minor"/>
      </rPr>
      <t>-IMP-10-1-1-00</t>
    </r>
  </si>
  <si>
    <r>
      <rPr>
        <b/>
        <sz val="10"/>
        <color theme="1"/>
        <rFont val="Calibri"/>
        <family val="2"/>
        <scheme val="minor"/>
      </rPr>
      <t>[DCD check]</t>
    </r>
    <r>
      <rPr>
        <sz val="10"/>
        <color theme="1"/>
        <rFont val="Calibri"/>
        <family val="2"/>
        <scheme val="minor"/>
      </rPr>
      <t xml:space="preserve">
Confirm the spice used for DCD run is lpe based spice netlist with RC information. Otherwise the DCD results are not accurate. (Check the Notes)</t>
    </r>
  </si>
  <si>
    <r>
      <rPr>
        <sz val="10"/>
        <color rgb="FFFF0000"/>
        <rFont val="Calibri"/>
        <family val="2"/>
        <scheme val="minor"/>
      </rPr>
      <t>MIG</t>
    </r>
    <r>
      <rPr>
        <sz val="10"/>
        <color theme="1"/>
        <rFont val="Calibri"/>
        <family val="2"/>
        <scheme val="minor"/>
      </rPr>
      <t>-IMP-10-1-1-01</t>
    </r>
    <r>
      <rPr>
        <sz val="11"/>
        <color theme="1"/>
        <rFont val="Calibri"/>
        <family val="2"/>
        <scheme val="minor"/>
      </rPr>
      <t/>
    </r>
  </si>
  <si>
    <r>
      <rPr>
        <b/>
        <sz val="10"/>
        <color theme="1"/>
        <rFont val="Calibri"/>
        <family val="2"/>
        <scheme val="minor"/>
      </rPr>
      <t>[DCD check]</t>
    </r>
    <r>
      <rPr>
        <sz val="10"/>
        <color theme="1"/>
        <rFont val="Calibri"/>
        <family val="2"/>
        <scheme val="minor"/>
      </rPr>
      <t xml:space="preserve">
Confirm with Balbeer the DCD flow and results are valid. </t>
    </r>
  </si>
  <si>
    <r>
      <rPr>
        <sz val="10"/>
        <color rgb="FFFF0000"/>
        <rFont val="Calibri"/>
        <family val="2"/>
        <scheme val="minor"/>
      </rPr>
      <t>MIG</t>
    </r>
    <r>
      <rPr>
        <sz val="10"/>
        <color theme="1"/>
        <rFont val="Calibri"/>
        <family val="2"/>
        <scheme val="minor"/>
      </rPr>
      <t>-IMP-10-1-1-02</t>
    </r>
  </si>
  <si>
    <r>
      <rPr>
        <b/>
        <sz val="10"/>
        <color theme="1"/>
        <rFont val="Calibri"/>
        <family val="2"/>
        <scheme val="minor"/>
      </rPr>
      <t>[DCD check]</t>
    </r>
    <r>
      <rPr>
        <sz val="10"/>
        <color theme="1"/>
        <rFont val="Calibri"/>
        <family val="2"/>
        <scheme val="minor"/>
      </rPr>
      <t xml:space="preserve">
Confirm with Kato-san if DCD results is not meet the target.  </t>
    </r>
  </si>
  <si>
    <r>
      <rPr>
        <sz val="10"/>
        <color rgb="FFFF0000"/>
        <rFont val="Calibri"/>
        <family val="2"/>
        <scheme val="minor"/>
      </rPr>
      <t>MIG</t>
    </r>
    <r>
      <rPr>
        <sz val="10"/>
        <color theme="1"/>
        <rFont val="Calibri"/>
        <family val="2"/>
        <scheme val="minor"/>
      </rPr>
      <t>-IMP-10-1-2-00</t>
    </r>
  </si>
  <si>
    <r>
      <rPr>
        <b/>
        <sz val="10"/>
        <color theme="1"/>
        <rFont val="Calibri"/>
        <family val="2"/>
        <scheme val="minor"/>
      </rPr>
      <t>[ETMQA check]</t>
    </r>
    <r>
      <rPr>
        <sz val="10"/>
        <color theme="1"/>
        <rFont val="Calibri"/>
        <family val="2"/>
        <scheme val="minor"/>
      </rPr>
      <t xml:space="preserve">
Confirm this program will support ETM based timing signoff on customer side. (Fill N/A if it doesn't support ETM based timing signoff on customer side, check with design team or PM about the details)
Attention: You must run the ETMQA flow for Dragonfly LPDDR/DDR5 PHY and some of the HPPHY with new architecture to make sure there is no constraint(arc) and libgen setting issue. 
Confirm you have created a JIRA about the ETMQA run directory and results and assign that to Liang Mi(liangmi@cadence.com) to cross review.</t>
    </r>
  </si>
  <si>
    <t>HPPHY/DFPHY/GDDR</t>
  </si>
  <si>
    <r>
      <rPr>
        <sz val="10"/>
        <color rgb="FFFF0000"/>
        <rFont val="Calibri"/>
        <family val="2"/>
        <scheme val="minor"/>
      </rPr>
      <t>MIG</t>
    </r>
    <r>
      <rPr>
        <sz val="10"/>
        <color theme="1"/>
        <rFont val="Calibri"/>
        <family val="2"/>
        <scheme val="minor"/>
      </rPr>
      <t>-IMP-10-1-2-01</t>
    </r>
    <r>
      <rPr>
        <sz val="11"/>
        <color theme="1"/>
        <rFont val="Calibri"/>
        <family val="2"/>
        <scheme val="minor"/>
      </rPr>
      <t/>
    </r>
  </si>
  <si>
    <r>
      <rPr>
        <b/>
        <sz val="10"/>
        <color theme="1"/>
        <rFont val="Calibri"/>
        <family val="2"/>
        <scheme val="minor"/>
      </rPr>
      <t>[ETMQA check]</t>
    </r>
    <r>
      <rPr>
        <sz val="10"/>
        <color theme="1"/>
        <rFont val="Calibri"/>
        <family val="2"/>
        <scheme val="minor"/>
      </rPr>
      <t xml:space="preserve">
Confirm there is no issue for ETMQA flow. You can refer to /projects/workbench/versions/workbench_v0.8/workbench/kits/wrapper/etmQA_review_guide about how to check the results. Please contact ipg_mig_arch_pd if you run into any issue for the flow. （Fill N/A if customer will not run ETM based STA)</t>
    </r>
  </si>
  <si>
    <r>
      <rPr>
        <sz val="10"/>
        <color rgb="FFFF0000"/>
        <rFont val="Calibri"/>
        <family val="2"/>
        <scheme val="minor"/>
      </rPr>
      <t>MIG</t>
    </r>
    <r>
      <rPr>
        <sz val="10"/>
        <color theme="1"/>
        <rFont val="Calibri"/>
        <family val="2"/>
        <scheme val="minor"/>
      </rPr>
      <t>-IMP-10-1-2-02</t>
    </r>
    <r>
      <rPr>
        <sz val="11"/>
        <color theme="1"/>
        <rFont val="Calibri"/>
        <family val="2"/>
        <scheme val="minor"/>
      </rPr>
      <t/>
    </r>
  </si>
  <si>
    <r>
      <rPr>
        <b/>
        <sz val="10"/>
        <color theme="1"/>
        <rFont val="Calibri"/>
        <family val="2"/>
        <scheme val="minor"/>
      </rPr>
      <t>[ETMQA check]</t>
    </r>
    <r>
      <rPr>
        <sz val="10"/>
        <color theme="1"/>
        <rFont val="Calibri"/>
        <family val="2"/>
        <scheme val="minor"/>
      </rPr>
      <t xml:space="preserve">
Please provide the ETMQA run dir in comment. （Fill N/A if customer will not run ETM based STA)</t>
    </r>
  </si>
  <si>
    <r>
      <t xml:space="preserve"> 10.2 - STA/DCD CHECK (</t>
    </r>
    <r>
      <rPr>
        <b/>
        <sz val="10"/>
        <color rgb="FFFF0000"/>
        <rFont val="Calibri"/>
        <family val="2"/>
        <scheme val="minor"/>
      </rPr>
      <t>ONLY FOR HBM</t>
    </r>
    <r>
      <rPr>
        <b/>
        <sz val="10"/>
        <color theme="1"/>
        <rFont val="Calibri"/>
        <family val="2"/>
        <scheme val="minor"/>
      </rPr>
      <t>)</t>
    </r>
  </si>
  <si>
    <r>
      <rPr>
        <sz val="10"/>
        <color rgb="FFFF0000"/>
        <rFont val="Calibri"/>
        <family val="2"/>
        <scheme val="minor"/>
      </rPr>
      <t>HBM</t>
    </r>
    <r>
      <rPr>
        <sz val="10"/>
        <color theme="1"/>
        <rFont val="Calibri"/>
        <family val="2"/>
        <scheme val="minor"/>
      </rPr>
      <t>-IMP-10-2-0-00</t>
    </r>
  </si>
  <si>
    <t>Conditions used to verify max clock frequency (e.g. wireload model, etc.). SPEF + 5% of clock period as setup uncertainty</t>
  </si>
  <si>
    <t>HBM</t>
  </si>
  <si>
    <r>
      <rPr>
        <sz val="10"/>
        <color rgb="FFFF0000"/>
        <rFont val="Calibri"/>
        <family val="2"/>
        <scheme val="minor"/>
      </rPr>
      <t>HBM</t>
    </r>
    <r>
      <rPr>
        <sz val="10"/>
        <color theme="1"/>
        <rFont val="Calibri"/>
        <family val="2"/>
        <scheme val="minor"/>
      </rPr>
      <t>-IMP-10-2-0-01</t>
    </r>
    <r>
      <rPr>
        <sz val="11"/>
        <color theme="1"/>
        <rFont val="Calibri"/>
        <family val="2"/>
        <scheme val="minor"/>
      </rPr>
      <t/>
    </r>
  </si>
  <si>
    <t>Setup uncertainty, OCV Parameters. Static IR 15mV based deltaV + 10C deltaT</t>
  </si>
  <si>
    <r>
      <rPr>
        <sz val="10"/>
        <color rgb="FFFF0000"/>
        <rFont val="Calibri"/>
        <family val="2"/>
        <scheme val="minor"/>
      </rPr>
      <t>HBM</t>
    </r>
    <r>
      <rPr>
        <sz val="10"/>
        <color theme="1"/>
        <rFont val="Calibri"/>
        <family val="2"/>
        <scheme val="minor"/>
      </rPr>
      <t>-IMP-10-2-0-02</t>
    </r>
    <r>
      <rPr>
        <sz val="11"/>
        <color theme="1"/>
        <rFont val="Calibri"/>
        <family val="2"/>
        <scheme val="minor"/>
      </rPr>
      <t/>
    </r>
  </si>
  <si>
    <t>Hold uncertainty, OCV parameters Static IR 15mV based deltaV + 10C deltaT</t>
  </si>
  <si>
    <r>
      <rPr>
        <sz val="10"/>
        <color rgb="FFFF0000"/>
        <rFont val="Calibri"/>
        <family val="2"/>
        <scheme val="minor"/>
      </rPr>
      <t>HBM</t>
    </r>
    <r>
      <rPr>
        <sz val="10"/>
        <color theme="1"/>
        <rFont val="Calibri"/>
        <family val="2"/>
        <scheme val="minor"/>
      </rPr>
      <t>-IMP-10-2-0-03</t>
    </r>
    <r>
      <rPr>
        <sz val="11"/>
        <color theme="1"/>
        <rFont val="Calibri"/>
        <family val="2"/>
        <scheme val="minor"/>
      </rPr>
      <t/>
    </r>
  </si>
  <si>
    <t>Were appropriate lifetime deratings  defined for use in STA/HSTA analysis? (frequency or uncertainty deratings) describe in Comments section</t>
  </si>
  <si>
    <t xml:space="preserve"> 11.0 - POWER EMIR CHECK  (GENERAL FOR ALL IPS)</t>
  </si>
  <si>
    <t>IMP-11-0-0-00</t>
  </si>
  <si>
    <t>Confirm input database(netlist/def/lef/spef/lib/pgv/etc) are loaded correctly.</t>
  </si>
  <si>
    <t>IMP-11-0-0-01</t>
  </si>
  <si>
    <t>Confirm the design has no power open/short and all instances are physically connected.</t>
  </si>
  <si>
    <t>IMP-11-0-0-02</t>
  </si>
  <si>
    <t>Confirm EMIR signoff criteria follows addendum or SOW, otherwise follow internal spec (design rule with IP specific margin)</t>
  </si>
  <si>
    <t>IMP-11-0-0-03</t>
  </si>
  <si>
    <t>Confirm activity file was used?  If not, provide default switching activity values in comments field.</t>
  </si>
  <si>
    <t>IMP-11-0-0-04</t>
  </si>
  <si>
    <t>Confirm proper rc/PVT corners were used for IR drop and EM analysis. List rc/PVT corners used in comments field.</t>
  </si>
  <si>
    <t>IMP-11-0-0-05</t>
  </si>
  <si>
    <t>Confirm generate all the power library with detail view correctly.</t>
  </si>
  <si>
    <t>IMP-11-0-0-06</t>
  </si>
  <si>
    <t>Confirm use the proper spice model and spice netlist to generate the PGV views.(check the Note)</t>
  </si>
  <si>
    <t>IMP-11-0-0-07</t>
  </si>
  <si>
    <t xml:space="preserve">Confirm all the PGV views are present in the EMIR scripts. </t>
  </si>
  <si>
    <t>IMP-11-0-0-08</t>
  </si>
  <si>
    <t>Confirm full PG connection information are included in def to run PA.</t>
  </si>
  <si>
    <t>IMP-11-0-0-09</t>
  </si>
  <si>
    <t>Confirm Power pad locations correctly defined.
Note: voltage sources need to be defined on the input side (VDDG) of power switches to all tool to calculate IR drop through power switch.</t>
  </si>
  <si>
    <t>IMP-11-0-0-10</t>
  </si>
  <si>
    <t>Confirm static power analysis results matches the requirement.</t>
  </si>
  <si>
    <t>IMP-11-0-0-11</t>
  </si>
  <si>
    <t xml:space="preserve">Confirm the power number  can meet the power target in addendum if addendum has the power spec. </t>
  </si>
  <si>
    <t>IMP-11-0-0-12</t>
  </si>
  <si>
    <t>Confirm the power number between EW and NS is similiar if this program has both NS and EW orientations.(&lt; 10% at least. fill N/A in case only one orientation)</t>
  </si>
  <si>
    <t>IMP-11-0-0-13</t>
  </si>
  <si>
    <t xml:space="preserve">Confirm dynamic power results matches the requirement. </t>
  </si>
  <si>
    <t>IMP-11-0-0-14</t>
  </si>
  <si>
    <t>List default continous operation years in design rule. (eg: 10 years)</t>
  </si>
  <si>
    <t>IMP-11-0-0-15</t>
  </si>
  <si>
    <t>List default EM temperature in design rule. (eg. 105C/110C)</t>
  </si>
  <si>
    <t>IMP-11-0-0-16</t>
  </si>
  <si>
    <t>List continous operation years in your check.</t>
  </si>
  <si>
    <t>IMP-11-0-0-17</t>
  </si>
  <si>
    <t>List EM temperature in your check.</t>
  </si>
  <si>
    <t>IMP-11-0-0-18</t>
  </si>
  <si>
    <t xml:space="preserve">Confirm signalEM analysis results matches the requirement. </t>
  </si>
  <si>
    <t>IMP-11-0-0-19</t>
  </si>
  <si>
    <t>Confirm you are aware of and follow the customers' requirement about wake-up/rush-current if they have.(For non-PSO, please fill N/A)</t>
  </si>
  <si>
    <t>IMP-11-0-0-20</t>
  </si>
  <si>
    <t>Confirm wake-up time meet customer's requirement. (For non-PSO, please fill N/A)</t>
  </si>
  <si>
    <t>IMP-11-0-0-21</t>
  </si>
  <si>
    <t>Confirm rush-current meet the requirement. (For non-PSO, please fill N/A)</t>
  </si>
  <si>
    <t>IMP-11-0-0-22</t>
  </si>
  <si>
    <t>Confirm no ERROR message in power analysis log files.</t>
  </si>
  <si>
    <t>IMP-11-0-0-23</t>
  </si>
  <si>
    <t>Confirm all Warning message in power analysis log files can be waived.</t>
  </si>
  <si>
    <t>IMP-11-0-0-24</t>
  </si>
  <si>
    <t>Confirm the VT ratio calculation excludes physical cells(Filler/DCAP/Tap etc).</t>
  </si>
  <si>
    <t>IMP-11-0-0-25</t>
  </si>
  <si>
    <t>Confirm use TSO to run power opt including leakage opt</t>
  </si>
  <si>
    <t>IMP-11-0-0-26</t>
  </si>
  <si>
    <t>List the VT ratio (without physical cells):
EG:
TSMCN7/N6:SVT(50%)/LVT(40%)/ULVT(10%)
TSMCN5/N4/N3/N2:SVT(50%)/LVTLL(20%)/LVT(20%)/ULVTLL(5%)/ULVT(5%)/ELVT(0%)
SEC:RVT(50%)/LVT(40%)/SLVT(10%)
INTl_I3/18A:ad(HVT 30%)/ac(SVT 20%)/ab(LVT 30%)/aa(ULVT 20%)</t>
  </si>
  <si>
    <t>IMP-11-0-0-27</t>
  </si>
  <si>
    <t>Confirm adequate decaps were added to meet design requirements?</t>
  </si>
  <si>
    <r>
      <t xml:space="preserve"> 11.1 - POWER EMIR CHECK (</t>
    </r>
    <r>
      <rPr>
        <b/>
        <sz val="10"/>
        <color rgb="FFFF0000"/>
        <rFont val="Calibri"/>
        <family val="2"/>
        <scheme val="minor"/>
      </rPr>
      <t>ONLY FOR MIG</t>
    </r>
    <r>
      <rPr>
        <b/>
        <sz val="10"/>
        <color theme="1"/>
        <rFont val="Calibri"/>
        <family val="2"/>
        <scheme val="minor"/>
      </rPr>
      <t xml:space="preserve"> HSPHY/HPPHY/DFPHY/GDDRPHY)</t>
    </r>
  </si>
  <si>
    <r>
      <rPr>
        <sz val="10"/>
        <color rgb="FFFF0000"/>
        <rFont val="Calibri"/>
        <family val="2"/>
        <scheme val="minor"/>
      </rPr>
      <t>MIG</t>
    </r>
    <r>
      <rPr>
        <sz val="10"/>
        <color theme="1"/>
        <rFont val="Calibri"/>
        <family val="2"/>
        <scheme val="minor"/>
      </rPr>
      <t>-IMP-11-1-0-00</t>
    </r>
  </si>
  <si>
    <t>Confirm enable the full delay line to check the PG weak points related to delay line in EMIR analysis.</t>
  </si>
  <si>
    <r>
      <rPr>
        <sz val="10"/>
        <color rgb="FFFF0000"/>
        <rFont val="Calibri"/>
        <family val="2"/>
        <scheme val="minor"/>
      </rPr>
      <t>MIG</t>
    </r>
    <r>
      <rPr>
        <sz val="10"/>
        <color theme="1"/>
        <rFont val="Calibri"/>
        <family val="2"/>
        <scheme val="minor"/>
      </rPr>
      <t>-IMP-11-1-0-01</t>
    </r>
    <r>
      <rPr>
        <sz val="11"/>
        <color theme="1"/>
        <rFont val="Calibri"/>
        <family val="2"/>
        <scheme val="minor"/>
      </rPr>
      <t/>
    </r>
  </si>
  <si>
    <t>Confrim the MIMCAP PGV view is provided by AMS team for die model correctness. (for non-MIMCAP case, please fill N/A)</t>
  </si>
  <si>
    <r>
      <rPr>
        <sz val="10"/>
        <color rgb="FFFF0000"/>
        <rFont val="Calibri"/>
        <family val="2"/>
        <scheme val="minor"/>
      </rPr>
      <t>MIG</t>
    </r>
    <r>
      <rPr>
        <sz val="10"/>
        <color theme="1"/>
        <rFont val="Calibri"/>
        <family val="2"/>
        <scheme val="minor"/>
      </rPr>
      <t>-IMP-11-1-0-02</t>
    </r>
  </si>
  <si>
    <t>Confirm run VDDR domain EMIR for projects with Regulator and double confirm the VDDR domain total capacitance with AMS team. (For non Regulator case,please fill N/A)</t>
  </si>
  <si>
    <r>
      <rPr>
        <sz val="10"/>
        <color rgb="FFFF0000"/>
        <rFont val="Calibri"/>
        <family val="2"/>
        <scheme val="minor"/>
      </rPr>
      <t>MIG</t>
    </r>
    <r>
      <rPr>
        <sz val="10"/>
        <color theme="1"/>
        <rFont val="Calibri"/>
        <family val="2"/>
        <scheme val="minor"/>
      </rPr>
      <t>-IMP-11-1-1-00</t>
    </r>
  </si>
  <si>
    <r>
      <rPr>
        <b/>
        <sz val="10"/>
        <color theme="1"/>
        <rFont val="Calibri"/>
        <family val="2"/>
        <scheme val="minor"/>
      </rPr>
      <t>[VCD based Power Evaluation]</t>
    </r>
    <r>
      <rPr>
        <sz val="10"/>
        <color theme="1"/>
        <rFont val="Calibri"/>
        <family val="2"/>
        <scheme val="minor"/>
      </rPr>
      <t xml:space="preserve">
Confirm all Warning message in power evaluation log files can be waived.</t>
    </r>
  </si>
  <si>
    <t>PHY</t>
  </si>
  <si>
    <r>
      <rPr>
        <sz val="10"/>
        <color rgb="FFFF0000"/>
        <rFont val="Calibri"/>
        <family val="2"/>
        <scheme val="minor"/>
      </rPr>
      <t>MIG</t>
    </r>
    <r>
      <rPr>
        <sz val="10"/>
        <color theme="1"/>
        <rFont val="Calibri"/>
        <family val="2"/>
        <scheme val="minor"/>
      </rPr>
      <t>-IMP-11-1-1-01</t>
    </r>
    <r>
      <rPr>
        <sz val="11"/>
        <color theme="1"/>
        <rFont val="Calibri"/>
        <family val="2"/>
        <scheme val="minor"/>
      </rPr>
      <t/>
    </r>
  </si>
  <si>
    <r>
      <rPr>
        <b/>
        <sz val="10"/>
        <color theme="1"/>
        <rFont val="Calibri"/>
        <family val="2"/>
        <scheme val="minor"/>
      </rPr>
      <t>[VCD-based Power Evaluation]</t>
    </r>
    <r>
      <rPr>
        <sz val="10"/>
        <color theme="1"/>
        <rFont val="Calibri"/>
        <family val="2"/>
        <scheme val="minor"/>
      </rPr>
      <t xml:space="preserve">
Confirm no ERROR message in power evaluation log files.</t>
    </r>
  </si>
  <si>
    <r>
      <rPr>
        <sz val="10"/>
        <color rgb="FFFF0000"/>
        <rFont val="Calibri"/>
        <family val="2"/>
        <scheme val="minor"/>
      </rPr>
      <t>MIG</t>
    </r>
    <r>
      <rPr>
        <sz val="10"/>
        <color theme="1"/>
        <rFont val="Calibri"/>
        <family val="2"/>
        <scheme val="minor"/>
      </rPr>
      <t>-IMP-11-1-1-02</t>
    </r>
  </si>
  <si>
    <r>
      <rPr>
        <b/>
        <sz val="10"/>
        <color theme="1"/>
        <rFont val="Calibri"/>
        <family val="2"/>
        <scheme val="minor"/>
      </rPr>
      <t>[VCD-based Power Evaluation]</t>
    </r>
    <r>
      <rPr>
        <sz val="10"/>
        <color theme="1"/>
        <rFont val="Calibri"/>
        <family val="2"/>
        <scheme val="minor"/>
      </rPr>
      <t xml:space="preserve">
Confirm final power evaluation checklist (DDR_PHY_IP_Performance_Analysis_Template_V1p2) and reports have been reviewed by Reviewer.</t>
    </r>
  </si>
  <si>
    <r>
      <t xml:space="preserve"> 11.2 - POWER EMIR CHECK (</t>
    </r>
    <r>
      <rPr>
        <b/>
        <sz val="10"/>
        <color rgb="FFFF0000"/>
        <rFont val="Calibri"/>
        <family val="2"/>
        <scheme val="minor"/>
      </rPr>
      <t>ONLY FOR HBM</t>
    </r>
    <r>
      <rPr>
        <b/>
        <sz val="10"/>
        <color theme="1"/>
        <rFont val="Calibri"/>
        <family val="2"/>
        <scheme val="minor"/>
      </rPr>
      <t>)</t>
    </r>
  </si>
  <si>
    <t>HBM-IMP-11-2-0-00</t>
  </si>
  <si>
    <t>Was the final typical and worst case power computed using a simulation based VCD dump and provided to the design teams?</t>
  </si>
  <si>
    <t xml:space="preserve"> 12.0 - PHYSICAL VERIFICATION CHECK  (GENERAL FOR ALL IPS)</t>
  </si>
  <si>
    <t>IMP-12-0-0-00</t>
  </si>
  <si>
    <t>Confirm the GDS includes dummy METAL/OD/PO/COD.</t>
  </si>
  <si>
    <t>IMP-12-0-0-01</t>
  </si>
  <si>
    <t>Confirm mock tapeout GDS includes dummy METAL/OD/PO/COD.</t>
  </si>
  <si>
    <t>IMP-12-0-0-02</t>
  </si>
  <si>
    <t>Confirm the GDS was generated properly and physical verification has been run on final block GDS.</t>
  </si>
  <si>
    <t>IMP-12-0-0-03</t>
  </si>
  <si>
    <t>Confirm the DRC rule deck setting is correct. Make sure the switch settings match with Foundry CTA (/local/method/CTAF/&lt;process&gt;/production in chamber). Please add justification in Comment if you changed some switching setting in CTA.</t>
  </si>
  <si>
    <t>IMP-12-0-0-04</t>
  </si>
  <si>
    <t>Confirm the "#define CHECK_FLOATING_GATE_BY_PRIMARY_TEXT" DRC option in DRC rule deck is open to check PO.R.19 (input floating issue) in IP level.</t>
  </si>
  <si>
    <t>IMP-12-0-0-05</t>
  </si>
  <si>
    <t>Confirm open the IP_TIGHTEN_DENSITY switch in DRC rule deck.</t>
  </si>
  <si>
    <t>IMP-12-0-0-06</t>
  </si>
  <si>
    <t>Confirm the MIM related check setting is correct. (Fill N/A if no MIMCAP inserted or no MIM related layers)</t>
  </si>
  <si>
    <t>IMP-12-0-0-07</t>
  </si>
  <si>
    <t>Confirm the ANT rule deck setting is correct.</t>
  </si>
  <si>
    <t>IMP-12-0-0-08</t>
  </si>
  <si>
    <t>Confirm the MIM_ANT rule deck setting is correct. (For MIG,please check with AMS team about the MIM cell type (MIM or SHDMIM) because the MIM_ANT rule will be different).</t>
  </si>
  <si>
    <t>IMP-12-0-0-09</t>
  </si>
  <si>
    <t>Confirm the LVS rule deck setting is correct.</t>
  </si>
  <si>
    <t>IMP-12-0-0-10</t>
  </si>
  <si>
    <t>Confirm turn-off the VIRTUAL_CONNECT in LVS setting.</t>
  </si>
  <si>
    <t>IMP-12-0-0-11</t>
  </si>
  <si>
    <t>Confirm the DRC check result is clean. (fill the confidence level of not touching floorplan again in comment if fill no, for example, 90%~100%)</t>
  </si>
  <si>
    <t>IMP-12-0-0-12</t>
  </si>
  <si>
    <t>Confirm the MIM related check is clean. (Need to check and Fill N/A if no MIMCAP inserted or no MIM related layers in PHY or SOC level)
    - If PHY needs to insert MIMCAP. 
            1. Need to pay attention to the MIMCAP KOZ rule during MIMCAP insertion after check with customer about the SOC die size, substrate layer number and PHY placement/location in SOC level. 
            2. Pay attention to the option setting related to MIM DRC check like KOZ_High_subst_layer, SHDMIM_KOZ_AP_SPACE_5um(on/off will impact the checking rule) etc in TSMC rule deck(need to align these settings with customer).
    -If PHY doesn't insert MIMCAP but SOC level inserts MIMCAP. 
            1. Need to open SHDMIM switching in DRC rule deck.
            2. Need to check with customer whether PHY need to meet SHDMIM_KOZ_AP_SPACE_5um rule (if SOC level this DRC switching setting is ON) in PHY area which falls into SOC KOZ area for TSMC process.
            3. May need to insert MIM dummy in PHY level to meet SOC level MIM dummy density rule (you can sync with customer whether PHY MIM dummy is needed and the KOZ information on PHY to make sure there is no dummy added in KOZ area on PHY by adding MIM EXCL layer).</t>
  </si>
  <si>
    <t>IMP-12-0-0-13</t>
  </si>
  <si>
    <t>Confirm the ANT check result is clean.</t>
  </si>
  <si>
    <t>IMP-12-0-0-14</t>
  </si>
  <si>
    <t>Confirm the MIM_ANT check result is clean. (Fill N/a if no MIMCAP inserted or no MIM related layers)</t>
  </si>
  <si>
    <t>IMP-12-0-0-15</t>
  </si>
  <si>
    <t>Confirm the LVS check result is match.</t>
  </si>
  <si>
    <t>IMP-12-0-0-16</t>
  </si>
  <si>
    <t>Confrim there is no issue for lvs.rep and extra pins in lvs.rep.cls even the results shows MATCH(check the Note)</t>
  </si>
  <si>
    <t>IMP-12-0-0-17</t>
  </si>
  <si>
    <t>Confirm no soft-connect issue.</t>
  </si>
  <si>
    <t>IMP-12-0-0-18</t>
  </si>
  <si>
    <t>Confirm the ERC check result is clean.</t>
  </si>
  <si>
    <t>IMP-12-0-0-19</t>
  </si>
  <si>
    <t>Confirm Analog power/gnd labels are correct.</t>
  </si>
  <si>
    <t>IMP-12-0-0-20</t>
  </si>
  <si>
    <t>Confirm no unknown black boxes are reported.</t>
  </si>
  <si>
    <t>IMP-12-0-0-21</t>
  </si>
  <si>
    <t>Confirm no ERROR message in PV log files.</t>
  </si>
  <si>
    <t>IMP-12-0-0-22</t>
  </si>
  <si>
    <t>Confirm all Warning message in PV log files can be waived.</t>
  </si>
  <si>
    <t>IMP-12-0-0-23</t>
  </si>
  <si>
    <t>Confirm set proper LVS bump text files (e.g: not include VDDG/VREF internal pin).</t>
  </si>
  <si>
    <t>IMP-12-0-0-24</t>
  </si>
  <si>
    <t>Confirm add the chipBoundary layer to check boundary DRC for test chip.</t>
  </si>
  <si>
    <t>IMP-12-0-0-25</t>
  </si>
  <si>
    <t>IMP-12-0-0-26</t>
  </si>
  <si>
    <t>Confirm BUMP rule DRC result is clean.</t>
  </si>
  <si>
    <t>IMP-12-0-0-27</t>
  </si>
  <si>
    <t xml:space="preserve">Confirm Package to Chip comparison passes (bump excel vs bump location in gds/oas)? </t>
  </si>
  <si>
    <t>IMP-12-0-0-28</t>
  </si>
  <si>
    <t>Confirm ARC check result is clean. (For BRCM project only, for others fill N/A)</t>
  </si>
  <si>
    <t>IMP-12-0-0-29</t>
  </si>
  <si>
    <t>Confirm all Warning message in ARC log files can be waived. (For BRCM project only, for others fill N/A)</t>
  </si>
  <si>
    <t>IMP-12-0-0-30</t>
  </si>
  <si>
    <t>Confirm DFM check result is clean. (for SEC process, for others fill N/A)</t>
  </si>
  <si>
    <t>IMP-12-0-0-31</t>
  </si>
  <si>
    <t>Confirm FLT check result is clean. (for SEC process, for others fill N/A)</t>
  </si>
  <si>
    <t>IMP-12-0-0-32</t>
  </si>
  <si>
    <t>Confirm no ERROR message in DFM/FLT log files. (for SEC process, for others fill N/A)</t>
  </si>
  <si>
    <t>IMP-12-0-0-33</t>
  </si>
  <si>
    <t>Confirm all Warning message in DFM/FLT log files can be waived. (for SEC process, for others fill N/A)</t>
  </si>
  <si>
    <t>IMP-12-0-0-34</t>
  </si>
  <si>
    <t>Confirm RTO DRC result is clean for post-mask ECO if foundry has RTO DRC check requirement. (fill N/A is no RTO DRC check)</t>
  </si>
  <si>
    <t>final</t>
  </si>
  <si>
    <t>IMP-12-0-0-35</t>
  </si>
  <si>
    <t>Confirm all Warning message in RTO DRC log files can be waived. (for SEC process, for others fill N/A)</t>
  </si>
  <si>
    <t xml:space="preserve"> 13.0 - POST PD EQUIVALENCE CHECK  (SYNTH-POST PD NETLIST, GENERAL FOR ALL IPS)</t>
  </si>
  <si>
    <t>IMP-13-0-0-00</t>
  </si>
  <si>
    <t>IMP-13-0-0-01</t>
  </si>
  <si>
    <t>IMP-13-0-0-02</t>
  </si>
  <si>
    <t>IMP-13-0-0-03</t>
  </si>
  <si>
    <t>IMP-13-0-0-04</t>
  </si>
  <si>
    <t>IMP-13-0-0-05</t>
  </si>
  <si>
    <t>IMP-13-0-0-06</t>
  </si>
  <si>
    <t>IMP-13-0-0-07</t>
  </si>
  <si>
    <t xml:space="preserve"> 14.0 - CLP CHECK  (GENERAL FOR ALL IPS)</t>
  </si>
  <si>
    <t>IMP-14-0-0-00</t>
  </si>
  <si>
    <t>Confirm set the correct golden netlist.</t>
  </si>
  <si>
    <t>IMP-14-0-0-01</t>
  </si>
  <si>
    <t>Confirm pass the formal check for final release netlist.</t>
  </si>
  <si>
    <t>IMP-14-0-0-02</t>
  </si>
  <si>
    <t>Confirm connect the PSO chain correctly. (Fill N/A if no PSO)</t>
  </si>
  <si>
    <t>IMP-14-0-0-03</t>
  </si>
  <si>
    <t xml:space="preserve">Confirm the CLP check result is clean. </t>
  </si>
  <si>
    <t>IMP-14-0-0-04</t>
  </si>
  <si>
    <t>Confirm no ERROR message in CLP log files.</t>
  </si>
  <si>
    <t>IMP-14-0-0-05</t>
  </si>
  <si>
    <t>Confirm all Warning message in CLP log files can be waived.</t>
  </si>
  <si>
    <t>IMP-14-0-0-06</t>
  </si>
  <si>
    <t>Confirm you have run CLP without issue if the design has VDD_AO domain or other low power features like power gating, retention etc.</t>
  </si>
  <si>
    <t xml:space="preserve"> 15.0 - ESD PERC CHECK  (GENERAL FOR ALL IPS)</t>
  </si>
  <si>
    <t>IMP-15-0-0-00</t>
  </si>
  <si>
    <t xml:space="preserve">Confirm whether ESD PERC check is needed. </t>
  </si>
  <si>
    <t>IMP-15-0-0-01</t>
  </si>
  <si>
    <t>Confirm whether CNOD check is needed.  For example, we need to check CNOD for TSMCN5 process.</t>
  </si>
  <si>
    <t>IMP-15-0-0-02</t>
  </si>
  <si>
    <t>Confirm the PERC voltage setting is correct.(check the Note)</t>
  </si>
  <si>
    <t>IMP-15-0-0-03</t>
  </si>
  <si>
    <t>Confirm there is no issue about ESD PERC check if PERC check is needed.</t>
  </si>
  <si>
    <t>IMP-15-0-0-04</t>
  </si>
  <si>
    <t>Confirm there is no issue about CNOD check if CNOD check is needed.</t>
  </si>
  <si>
    <t>IMP-15-0-0-05</t>
  </si>
  <si>
    <t>Confirm the RDL and PG structure of final database match to your PERC run pass version. If you made some changes on the RDL and PG structure for DRC/EMIR after you passed PERC run, either you can submit another free run within PERC run cycle or run XOR between PERC pass run gds and your final gds and provide justifications like signal RDL layers and PG layers to IO/ESD/PLL are same betwen the two versions.</t>
  </si>
  <si>
    <t xml:space="preserve"> 16.0 - IPTAG CHECK  (GENERAL FOR ALL IPS)</t>
  </si>
  <si>
    <t>IMP-16-0-0-00</t>
  </si>
  <si>
    <t>Confirm the IPTAG content and format are correct.(check the Note)</t>
  </si>
  <si>
    <t>IMP-16-0-0-01</t>
  </si>
  <si>
    <t>Confirm add TAG information to PHY.(TC/Controller don't need IPTAG)</t>
  </si>
  <si>
    <t>IMP-16-0-0-02</t>
  </si>
  <si>
    <t>Confirm PHY has the IPTAG for Hard PHY delivery and Slices have the IPTAG for FIRM PHY delivery. (Can skip slice level IPTAG for Hard PHY delivery)</t>
  </si>
  <si>
    <t>IMP-16-0-0-03</t>
  </si>
  <si>
    <t>Confirm use IP Type code for PHY - "P" in the slices IPTAG for FIRM PHY delivery.</t>
  </si>
  <si>
    <t>IMP-16-0-0-04</t>
  </si>
  <si>
    <t>Confirm update the IPTAG if FIRM PHY slices are reused as FIRM PHY delivery for another project.</t>
  </si>
  <si>
    <t>IMP-16-0-0-05</t>
  </si>
  <si>
    <t>Confirm remove the FIRM PHY slices IPTAG if FIRM PHY slices are reused in Hard PHY project.</t>
  </si>
  <si>
    <t>IMP-16-0-0-06</t>
  </si>
  <si>
    <r>
      <t xml:space="preserve">Confirm you followed the below document about IPTAG creation. If you have further question, please check with Tobing.
</t>
    </r>
    <r>
      <rPr>
        <b/>
        <sz val="10"/>
        <color theme="1"/>
        <rFont val="Calibri"/>
        <family val="2"/>
        <scheme val="minor"/>
      </rPr>
      <t xml:space="preserve">HSPHY/HPPHY/DFPHY/GDDR/HBM: </t>
    </r>
    <r>
      <rPr>
        <sz val="10"/>
        <color theme="1"/>
        <rFont val="Calibri"/>
        <family val="2"/>
        <scheme val="minor"/>
      </rPr>
      <t xml:space="preserve">
https://cadence.sharepoint.com/:w:/r/sites/IPGroup/DesignIP/Quality/_layouts/15/Doc.aspx?sourcedoc=%7B26DAB946-483A-415F-AC0C-C195C0838506%7D&amp;file=IP%20Number%20Format%20-%20DDR%20PHY.docx&amp;wdLOR=cF5835961-1465-461D-BAFD-3F0590F6A7F9&amp;action=default&amp;mobileredirect=true
</t>
    </r>
    <r>
      <rPr>
        <b/>
        <sz val="10"/>
        <color theme="1"/>
        <rFont val="Calibri"/>
        <family val="2"/>
        <scheme val="minor"/>
      </rPr>
      <t>SERDES:</t>
    </r>
    <r>
      <rPr>
        <sz val="10"/>
        <color theme="1"/>
        <rFont val="Calibri"/>
        <family val="2"/>
        <scheme val="minor"/>
      </rPr>
      <t xml:space="preserve">
https://cadence.sharepoint.com/:w:/r/sites/IPGroup/DesignIP/Quality/IP_Numbers/IP%20Number%20Format%20-%20SerDes.docx?d=wf015c37bca9b4d3d951589cf616333fe&amp;csf=1&amp;web=1</t>
    </r>
  </si>
  <si>
    <t>IMP-16-0-0-07</t>
  </si>
  <si>
    <t>Confirm the Final GDS have the IPTAG information?</t>
  </si>
  <si>
    <t xml:space="preserve"> 17.0 - FINAL DATA  (GENERAL FOR ALL IPS)</t>
  </si>
  <si>
    <t>IMP-17-0-0-00</t>
  </si>
  <si>
    <t>Confirm data has been copied to final release area? Provide a directory location in the comments field.</t>
  </si>
  <si>
    <t>IMP-17-0-0-01</t>
  </si>
  <si>
    <t>Is the ‘latest’ updated to point to the final release area?</t>
  </si>
  <si>
    <t>IMP-17-0-0-02</t>
  </si>
  <si>
    <t>Does the area contain all relevant and required information? Netlist/gds/db/lef/libs/spef etc</t>
  </si>
  <si>
    <t>IMP-17-0-0-03</t>
  </si>
  <si>
    <t>Have all irrelevant release areas been deleted?</t>
  </si>
  <si>
    <t>IMP-17-0-0-04</t>
  </si>
  <si>
    <t>Have checks been run on release data (checkIt etc)?</t>
  </si>
  <si>
    <r>
      <t xml:space="preserve"> 17.1 - FINAL DATA  (</t>
    </r>
    <r>
      <rPr>
        <b/>
        <sz val="10"/>
        <color rgb="FFFF0000"/>
        <rFont val="Calibri"/>
        <family val="2"/>
        <scheme val="minor"/>
      </rPr>
      <t>ONLY FOR HPP</t>
    </r>
    <r>
      <rPr>
        <b/>
        <sz val="10"/>
        <color theme="1"/>
        <rFont val="Calibri"/>
        <family val="2"/>
        <scheme val="minor"/>
      </rPr>
      <t>)</t>
    </r>
  </si>
  <si>
    <r>
      <rPr>
        <sz val="10"/>
        <color rgb="FFFF0000"/>
        <rFont val="Calibri"/>
        <family val="2"/>
        <scheme val="minor"/>
      </rPr>
      <t>HPP</t>
    </r>
    <r>
      <rPr>
        <sz val="10"/>
        <color theme="1"/>
        <rFont val="Calibri"/>
        <family val="2"/>
        <scheme val="minor"/>
      </rPr>
      <t>-IMP-17-1-0-00</t>
    </r>
  </si>
  <si>
    <t>If IP under DR3 review implements a register containing the revision/version of the IP, please confirm that this register contains the correct revision/version of the IP w.r.t this DR3 Review?</t>
  </si>
  <si>
    <r>
      <t xml:space="preserve"> 17.2 - FINAL DATA  (</t>
    </r>
    <r>
      <rPr>
        <b/>
        <sz val="10"/>
        <color rgb="FFFF0000"/>
        <rFont val="Calibri"/>
        <family val="2"/>
        <scheme val="minor"/>
      </rPr>
      <t>ONLY FOR HBM</t>
    </r>
    <r>
      <rPr>
        <b/>
        <sz val="10"/>
        <color theme="1"/>
        <rFont val="Calibri"/>
        <family val="2"/>
        <scheme val="minor"/>
      </rPr>
      <t>)</t>
    </r>
  </si>
  <si>
    <r>
      <rPr>
        <sz val="10"/>
        <color rgb="FFFF0000"/>
        <rFont val="Calibri"/>
        <family val="2"/>
        <scheme val="minor"/>
      </rPr>
      <t>HBM</t>
    </r>
    <r>
      <rPr>
        <sz val="10"/>
        <color theme="1"/>
        <rFont val="Calibri"/>
        <family val="2"/>
        <scheme val="minor"/>
      </rPr>
      <t>-IMP-17-2-0-00</t>
    </r>
  </si>
  <si>
    <t>Has the complete set of rule decks, LVS/DRC settings, and other setup requirements used to generate and signoff the final delivery been archived in case the runs must be replicated in the future?</t>
  </si>
  <si>
    <r>
      <rPr>
        <sz val="10"/>
        <color rgb="FFFF0000"/>
        <rFont val="Calibri"/>
        <family val="2"/>
        <scheme val="minor"/>
      </rPr>
      <t>HBM</t>
    </r>
    <r>
      <rPr>
        <sz val="10"/>
        <color theme="1"/>
        <rFont val="Calibri"/>
        <family val="2"/>
        <scheme val="minor"/>
      </rPr>
      <t>-IMP-17-2-0-01</t>
    </r>
    <r>
      <rPr>
        <sz val="11"/>
        <color theme="1"/>
        <rFont val="Calibri"/>
        <family val="2"/>
        <scheme val="minor"/>
      </rPr>
      <t/>
    </r>
  </si>
  <si>
    <t>Recommend performing a flush of the delivery flow with the customer to ensure all necessary files are delivered and the required database formats used.  Has this been done?</t>
  </si>
  <si>
    <t>DB</t>
  </si>
  <si>
    <t>Logs/Reports</t>
  </si>
  <si>
    <t>/projects/ucie_t3_pd/FRONT_END/work/yyin/NU/work/phy_cmn_phase_align_digtop/yuyin_test_run_sta_3/data/syn_opt.20251118_155257/dbs/syn_opt.run_syn_opt.cdb</t>
  </si>
  <si>
    <t>C:\Users\yuyin\Desktop\CHECKLIST\IP_project_folder\reports\qor.rpt</t>
  </si>
  <si>
    <t>Parse qor.rpt to extract all library versions; Compare extracted versions with expected versions from addendum; Verify all libraries match required versions</t>
  </si>
  <si>
    <t>Parse qor.rpt to extract standard cell libraries; List all libraries used for implementation and signoff; Categorize libraries by usage type</t>
  </si>
  <si>
    <t>Extract forbidden cell list from configuration; Check if any forbidden cells are specified; Document special requests from foundry or customers</t>
  </si>
  <si>
    <t>/projects/ucie_t3_pd/FRONT_END/work/yyin/NU/work/phy_cmn_phase_align_digtop/yuyin_test_run_sta_3/data/syn_generic.20251118_151410/dbs/syn_generic.block_finish.db</t>
  </si>
  <si>
    <t>C:\Users\yuyin\Desktop\CHECKLIST\IP_project_folder\logs\genus.syn_generic.log</t>
  </si>
  <si>
    <t>Parse synthesis log to extract all library usage; Identify non-standard-cell libraries (IO/PLL/DCC/BUMP/etc); List all other libraries used for implementation</t>
  </si>
  <si>
    <t>Parse synthesis log to extract analog cell/macro versions; Verify versions match AMS/Analog team specifications; Document version confirmation status</t>
  </si>
  <si>
    <t>/projects/yunbao_N6_80bits_EW_PHY_OD_6400/work/CDN_104H_cdn_hs_phy_data_slice_EW/xujia/apr/CDN_104H_cdn_hs_phy_data_slice_EW.1126_fix_dontuse.enc.dat</t>
  </si>
  <si>
    <t>scripts:/projects/yunbao_N6_80bits_EW_PHY_OD_6400/setup/setup_vars.tcl db_file:/projects/yunbao_N6_80bits_EW_PHY_OD_6400/work/CDN_104H_cdn_hs_phy_data_slice_EW/xujia/apr/CDN_104H_cdn_hs_phy_data_slice_EW.1126_fix_dontuse.enc.dat/libs/lef/PRTF_Innovus_N7_15M_1X1Xa1Ya5Y2Yy2Yx2R_UTRDL_M1P64_M2P40_M3P44_M4P76_M5P76_M6P76_M7P76_M8P76_M9P76_H300.14_1a.tlef</t>
  </si>
  <si>
    <t>search "tlef" in the script "setup_vars.tcl", you can get the tech lef . Or use reaklink to obtain the obsolute path of db_file</t>
  </si>
  <si>
    <t xml:space="preserve">scripts:/projects/yunbao_N6_80bits_EW_PHY_OD_6400/setup/setup_vars.tcl </t>
  </si>
  <si>
    <t>search "GDSMAP" in the script "setup_vars.tcl", you can get the gdsout map.</t>
  </si>
  <si>
    <t>script:/projects/yunbao_N6_80bits_EW_PHY_OD_6400/work/CDN_104H_cdn_hs_phy_data_slice_EW/xujia/signoff/signoff-20251126/scr/CDN_104H_cdn_hs_phy_data_slice_EW.DRCwD.pvl</t>
  </si>
  <si>
    <t>this script was generated by wb flow, search "encrypt" in it</t>
  </si>
  <si>
    <t>/projects/yunbao_N6_80bits_EW_PHY_OD_6400/work/CDN_104H_cdn_hs_phy_data_slice_EW/xujia/signoff/signoff-20251126/scr/CDN_104H_cdn_hs_phy_data_slice_EW.ANTwD.pvl</t>
  </si>
  <si>
    <t>/projects/yunbao_N6_80bits_EW_PHY_OD_6400/work/CDN_104H_cdn_hs_phy_data_slice_EW/xujia/signoff/signoff-20251126/scr/CDN_104H_cdn_hs_phy_data_slice_EW.LVSwD.pvl</t>
  </si>
  <si>
    <t>ㄎ</t>
  </si>
  <si>
    <t>/projects/yunbao_N6_80bits_EW_PHY_OD_6400/work/CDN_104H_cdn_hs_phy_data_slice_EW/xujia/signoff/signoff-20251126/scr/CDN_104H_cdn_hs_phy_data_slice_EW.FEOL.pvl</t>
  </si>
  <si>
    <t>/projects/yunbao_N6_80bits_EW_PHY_OD_6400/work/CDN_104H_cdn_hs_phy_data_slice_EW/xujia/signoff/signoff-20251126/scr/CDN_104H_cdn_hs_phy_data_slice_EW.BEOL.pvl</t>
  </si>
  <si>
    <t>global setting, not related to db</t>
  </si>
  <si>
    <t>search "INNOVUS(MODULE_CMD)"</t>
  </si>
  <si>
    <t>search “QRC(MODULE_CMD)"</t>
  </si>
  <si>
    <t>search "FV(MODULE_CMD)" or "CLP(MODULE_CMD)"</t>
  </si>
  <si>
    <t>search ”TEMPUS(MODULE_CMD)“</t>
  </si>
  <si>
    <t>search "QRC(MODULE_CMD)" and "VOLTUS(MODULE_CMD)"</t>
  </si>
  <si>
    <t>search "PVS(MODULE_CMD)" , "PEGASUS(MODULE_CMD)" and "MVS(MODULE_CMD)"</t>
  </si>
  <si>
    <t xml:space="preserve"> 4.0 - CONSTRAINT CHECK  (GENERAL FOR ALL IPS EXCEPT MIG. MIG HAS FEI TEAM TO HANDLE SYNTHESIS PART)</t>
  </si>
  <si>
    <t xml:space="preserve"> 5.0 - SYNTHESIS CHECK  (GENERAL FOR ALL IPS EXCEPT MIG. MIG HAS FEI TEAM TO HANDLE SYNTHESIS PART)</t>
  </si>
  <si>
    <t>/projects/ucie_t3_pd/FRONT_END/work/yyin/NU/work/phy_cmn_phase_align_digtop/yuyin_test_run_5/data/syn_opt.20250908_133242/dbs/syn_opt.run_syn_opt.cdb</t>
  </si>
  <si>
    <t>Extract all Technology libraries from qor.rpt; Check if libraries exist and are loaded; Type 2/3: Support forbidden library patterns</t>
  </si>
  <si>
    <t>C:\Users\yuyin\Desktop\CHECKLIST\IP_project_folder\logs\genus.syn_generic.log
C:\Users\yuyin\Desktop\CHECKLIST\IP_project_folder\reports\check.rpt</t>
  </si>
  <si>
    <t>Extract all .lef and .tlef file references from input files; Check LEF file usage for PLE optimization; Type 2/3: Support forbidden LEF file patterns</t>
  </si>
  <si>
    <t>C:\Users\yuyin\Desktop\CHECKLIST\IP_project_folder\logs\genus.syn_generic.log
C:\Users\yuyin\Desktop\CHECKLIST\IP_project_folder\reports\qor.rpt</t>
  </si>
  <si>
    <t>Extract domains from qor.rpt; Find rc_corner for each domain in log files; Find qrc_tech for each rc_corner in log files; Report QRC file usage or absence (both are valid PASS conditions)</t>
  </si>
  <si>
    <t>Extract library corner from "Library domain:" line in qor.rpt; Extract corner pattern (tcond_XXX_T format); Type 1: Report corner usage (PASS if found or not found); Type 2: Compare against expected corner value; Type 3/4: Support waiver logic for corner mismatches</t>
  </si>
  <si>
    <t>Extract unresolved references from "Check Design Report" section in logs; Type 1: Report reference status (PASS if none found or some found); Type 2: Compare against expected count (pattern_items); Type 3/4: Support waiver logic for unresolved references</t>
  </si>
  <si>
    <t>Parse synthesis log for empty module warnings; Extract all empty module instances; Support waiver for explained empty modules</t>
  </si>
  <si>
    <t>Parse synthesis log for SDC read failures; Extract all SDC-related errors and warnings; Verify SDC files are loaded successfully</t>
  </si>
  <si>
    <t>C:\Users\yuyin\Desktop\CHECKLIST\IP_project_folder\reports\multidriven.rpt</t>
  </si>
  <si>
    <t>Parse multidriven.rpt for multidriven net violations; Extract all multidriven signal names and locations; Report multidriven nets as violations</t>
  </si>
  <si>
    <t>C:\Users\yuyin\Desktop\CHECKLIST\IP_project_folder\reports\latch.rpt</t>
  </si>
  <si>
    <t>Parse latch.rpt for inferred latch warnings; Extract all latch instances and locations; Support waiver for documented/approved latches</t>
  </si>
  <si>
    <t>C:\Users\yuyin\Desktop\CHECKLIST\IP_project_folder\reports\gates.rpt</t>
  </si>
  <si>
    <t>Forbidden cells from IMP-1-0-0-02 pattern_items (supports regex); Parse gates.rpt first column as cell names; Match using regex patterns; Type 2/3: "Matched" means violation (found forbidden cells)</t>
  </si>
  <si>
    <t>C:\Users\yuyin\Desktop\CHECKLIST\IP_project_folder\logs\genus.syn_generic.log
C:\Users\yuyin\Desktop\CHECKLIST\IP_project_folder\logs\genus.syn_opt.log</t>
  </si>
  <si>
    <t>Parse synthesis logs for all warning messages; Extract and categorize warnings by severity; Verify peer review and annotation of warnings</t>
  </si>
  <si>
    <t>Parse qor.rpt to extract QoR metrics (timing/area/power); Compare actual metrics against requirements; Verify all QoR targets are met</t>
  </si>
  <si>
    <t>C:\Users\yuyin\Desktop\CHECKLIST\IP_project_folder\reports\dft_chainRegs.rpt</t>
  </si>
  <si>
    <t>Parse dft_chainRegs.rpt to extract non-scannable registers; Categorize registers by DFT issue type (9 categories); Type 2/3: Check against pattern_items (category patterns); Type 3/4: Support waiver logic with category-specific reasons</t>
  </si>
  <si>
    <t>C:\Users\yuyin\Desktop\CHECKLIST\IP_project_folder\reports\design_check_rule.rpt</t>
  </si>
  <si>
    <t>Parse design_check_rule.rpt for Max_transition/Max_capacitance/Max_fanout violations; Report violations with pin details; Warn if Max_fanout has no constraints; Type 2/3: Support forbidden rule patterns</t>
  </si>
  <si>
    <t>C:\Users\yuyin\Desktop\CHECKLIST\IP_project_folder\logs\dft_check_test.log</t>
  </si>
  <si>
    <t>Parse synthesis log for "Checking DFT rules for" section; Extract DFT violations with error types and violation details; Support pattern matching for specific DFT violation types; Support waiver logic for approved violations</t>
  </si>
  <si>
    <t>C:\Users\yuyin\Desktop\CHECKLIST\IP_project_folder\reports\verify_power_structure_test.rpt</t>
  </si>
  <si>
    <t>Parse power structure verification report; Extract ONLY "Severity: Error" issues (ignore Warnings/Infos); Support pattern matching for specific error types; Support waiver logic for approved errors</t>
  </si>
  <si>
    <t>C:\Users\yuyin\Desktop\CHECKLIST\IP_project_folder\reports\verify_power_structure_post_dft.rpt</t>
  </si>
  <si>
    <t>C:\Users\yuyin\Desktop\CHECKLIST\IP_project_folder\logs\log_create_logic_tests_FULLSCAN_cdn_sd2101_i3p765_vm130_6x2ya2yb2yc2yd1ye1ga1gb_atpg_stuckat</t>
  </si>
  <si>
    <t>Parse DFT ATPG log to extract Stuck-At coverage percentage; Compare coverage against DFT CoE expected value; Verify coverage meets or exceeds requirements</t>
  </si>
  <si>
    <t>C:\Users\yuyin\Desktop\CHECKLIST\IP_project_folder\logs\log_create_logic_delay_tests_FULLSCAN_cdn_sd2101_i3p765_vm130_6x2ya2yb2yc2yd1ye1ga1gb_atpg_dynamic</t>
  </si>
  <si>
    <t>Parse DFT ATPG log to extract Transition coverage percentage; Compare coverage against DFT CoE expected value; Verify coverage meets or exceeds requirements</t>
  </si>
  <si>
    <t xml:space="preserve"> 6.0 - POST SYNTHESIS LEC CHECK  (GENERAL FOR ALL IPS EXCEPT MIG. MIG HAS FEI TEAM TO HANDLE SYNTHESIS PART)</t>
  </si>
  <si>
    <t>/projects/ucie_t3_pd/FRONT_END/work/yyin/NU/work/phy_cmn_phase_align_digtop/yuyin_test_run_sta_3/data/syn_opt.lec/dbs</t>
  </si>
  <si>
    <t>C:\Users\yuyin\Desktop\CHECKLIST\IP_project_folder\logs\map_to_final.log</t>
  </si>
  <si>
    <t>Parse LEC log for add_pin_constraints commands; Extract and list all constraint definitions; Verify constraints have been peer reviewed</t>
  </si>
  <si>
    <t>C:\Users\yuyin\Desktop\CHECKLIST\IP_project_folder\reports\post_lec\syn_final_lec.log
C:\Users\yuyin\Desktop\CHECKLIST\IP_project_folder\logs\map_to_final.log</t>
  </si>
  <si>
    <t>Parse Conformal log files for warnings; Extract warning messages and locations; Support waiver for reviewed warnings with explanations</t>
  </si>
  <si>
    <t>Confirm all listed black boxes are intended? (打+warning)</t>
  </si>
  <si>
    <t>C:\Users\yuyin\Desktop\CHECKLIST\IP_project_folder\reports\post_lec\black_box.rpt</t>
  </si>
  <si>
    <t>Parse black_box.rpt to extract black box instances; List all black box modules found; Report count and details of black boxes</t>
  </si>
  <si>
    <t>Confirm all user defined black boxes have port definitions declared?   
(.lib or verilog stub file) (xxx)</t>
  </si>
  <si>
    <t>Parse LEC log to extract .lib file parsing commands; Match library files with configured black box patterns; Verify all expected black box libraries are defined</t>
  </si>
  <si>
    <t>Parse LEC log for flatten model settings; Verify set flatten model commands exist; Check flatten model configuration completeness</t>
  </si>
  <si>
    <t>C:\Users\yuyin\Desktop\CHECKLIST\IP_project_folder\reports\noneq.rpt</t>
  </si>
  <si>
    <t>Parse noneq.rpt for non-equivalent points; Extract all non-equivalent instances and signals; Support waiver for approved non-equivalent points</t>
  </si>
  <si>
    <t>C:\Users\yuyin\Desktop\CHECKLIST\IP_project_folder\reports\notmapped_points.rpt</t>
  </si>
  <si>
    <t>Parse notmapped_points.rpt for unmapped points; Extract all unmapped key points; Support waiver for reviewed unmapped points</t>
  </si>
  <si>
    <t>Parse LEC log to search for library pin verification command; Verify "set flatten model -library_pin_verification" exists; Report if command is missing or incorrect</t>
  </si>
  <si>
    <t>scripts:/projects/sd2101_t3_pd/cdn_sd2101_t3pg/work/cdn_sd2101_t3gp_vm133_1xah1xbv1xch1xdv1yah1ybv4yhvhv2yy2z/15M1Xa1Xb1Xc1Xd1Ya1Yb4Y2Yy2Z_SHDMIM_UT/jiahui_work/AI_checklist/script_log/scripts/IMP-7-0-0-00.tcl  log:/projects/sd2101_t3_pd/cdn_sd2101_t3pg/work/cdn_sd2101_t3gp_vm133_1xah1xbv1xch1xdv1yah1ybv4yhvhv2yy2z/15M1Xa1Xb1Xc1Xd1Ya1Yb4Y2Yy2Z_SHDMIM_UT/jiahui_work/AI_checklist/script_log/logs/IMP-7-0-0-00.rpt</t>
  </si>
  <si>
    <t>scripts:/projects/sd2101_t3_pd/cdn_sd2101_t3pg/work/cdn_sd2101_t3gp_vm133_1xah1xbv1xch1xdv1yah1ybv4yhvhv2yy2z/15M1Xa1Xb1Xc1Xd1Ya1Yb4Y2Yy2Z_SHDMIM_UT/jiahui_work/AI_checklist/script_log/scripts/IMP-7-0-0-02.tcl /projects/sd2101_t3_pd/cdn_sd2101_t3pg/work/cdn_sd2101_t3gp_vm133_1xah1xbv1xch1xdv1yah1ybv4yhvhv2yy2z/15M1Xa1Xb1Xc1Xd1Ya1Yb4Y2Yy2Z_SHDMIM_UT/jiahui_work/AI_checklist/work_checklist/checklist-ddr_check_1210/scr/do_innovuschecklist.tcl log:/projects/sd2101_t3_pd/cdn_sd2101_t3pg/work/cdn_sd2101_t3gp_vm133_1xah1xbv1xch1xdv1yah1ybv4yhvhv2yy2z/15M1Xa1Xb1Xc1Xd1Ya1Yb4Y2Yy2Z_SHDMIM_UT/jiahui_work/AI_checklist/script_log/logs/do_innovuschecklist.log /projects/sd2101_t3_pd/cdn_sd2101_t3pg/work/cdn_sd2101_t3gp_vm133_1xah1xbv1xch1xdv1yah1ybv4yhvhv2yy2z/15M1Xa1Xb1Xc1Xd1Ya1Yb4Y2Yy2Z_SHDMIM_UT/jiahui_work/AI_checklist/script_log/logs/IMP-7-0-0-02.rpt</t>
  </si>
  <si>
    <t>use same script and log with IMP-7-0-0-02</t>
  </si>
  <si>
    <t>scripts:/projects/sd2101_t3_pd/cdn_sd2101_t3pg/work/cdn_sd2101_t3gp_vm133_1xah1xbv1xch1xdv1yah1ybv4yhvhv2yy2z/15M1Xa1Xb1Xc1Xd1Ya1Yb4Y2Yy2Z_SHDMIM_UT/jiahui_work/AI_checklist/script_log/scripts/IMP-7-0-0-04.tcl          log:/projects/sd2101_t3_pd/cdn_sd2101_t3pg/work/cdn_sd2101_t3gp_vm133_1xah1xbv1xch1xdv1yah1ybv4yhvhv2yy2z/15M1Xa1Xb1Xc1Xd1Ya1Yb4Y2Yy2Z_SHDMIM_UT/jiahui_work/AI_checklist/script_log/logs/IMP-7-0-0-04.rpt</t>
  </si>
  <si>
    <t>scripts:/projects/sd2101_t3_pd/cdn_sd2101_t3pg/work/cdn_sd2101_t3gp_vm133_1xah1xbv1xch1xdv1yah1ybv4yhvhv2yy2z/15M1Xa1Xb1Xc1Xd1Ya1Yb4Y2Yy2Z_SHDMIM_UT/jiahui_work/AI_checklist/script_log/scripts/IMP-7-0-0-05.tcl          log:/projects/sd2101_t3_pd/cdn_sd2101_t3pg/work/cdn_sd2101_t3gp_vm133_1xah1xbv1xch1xdv1yah1ybv4yhvhv2yy2z/15M1Xa1Xb1Xc1Xd1Ya1Yb4Y2Yy2Z_SHDMIM_UT/jiahui_work/AI_checklist/script_log/logs/IMP-7-0-0-05.rpt</t>
  </si>
  <si>
    <t>N/A</t>
  </si>
  <si>
    <t>yunbao DDR don't have preserve cell list</t>
  </si>
  <si>
    <t xml:space="preserve"> /projects/yunbao_N6_80bits_EW_PHY_OD_6400/work/CDN_104H_cdn_hs_phy_data_slice_EW/xujia/apr/CDN_104H_cdn_hs_phy_data_slice_EW.1126_fix_dontuse.enc.dat</t>
  </si>
  <si>
    <t>/rscratch/ddr_pd_china/xujia/aai_checklist/IMP-8-0-0-01.rpt</t>
  </si>
  <si>
    <t>/rscratch/ddr_pd_china/xujia/aai_checklist/IMP-8-0-0-02.rpt</t>
  </si>
  <si>
    <t>/rscratch/ddr_pd_china/xujia/aai_checklist/IMP-8-0-0-03.rpt</t>
  </si>
  <si>
    <t>How to confirm?</t>
  </si>
  <si>
    <t>/rscratch/ddr_pd_china/xujia/aai_checklist/IMP-8-0-0-04.rpt</t>
  </si>
  <si>
    <t xml:space="preserve"> /projects/maxio_hangzhou_n3_T12FFC_DDR54_80_NS/release/final/maxio_hangzhou_n3_T12FFC_DDR54_80_NS_BE_post_final_eco1_0705/hard_phy/cadence_phy_ns_cdn_hs_phy_top/netlist/*
/projects/maxio_hangzhou_n3_T12FFC_DDR54_80_NS/work/cadence_phy_ns_cdn_hs_phy_top/beiyuan/clp/clp_20250619/cadence_phy_ns_cdn_hs_phy_top.upf</t>
  </si>
  <si>
    <t>/projects/maxio_hangzhou_n3_T12FFC_DDR54_80_NS/work/cadence_phy_ns_cdn_hs_phy_top/beiyuan/clp/clp_20250619/clp_summary_rule_check.rpt</t>
  </si>
  <si>
    <t>/rscratch/ddr_pd_china/xujia/aai_checklist/IMP-8-0-0-08.rpt</t>
  </si>
  <si>
    <t>/rscratch/ddr_pd_china/xujia/aai_checklist/get_default_switching_activity  /rscratch/ddr_pd_china/xujia/aai_checklist/getNanoRouteMode
/rscratch/ddr_pd_china/xujia/aai_checklist/getDesignMode                   /rscratch/ddr_pd_china/xujia/aai_checklist/getOptMode</t>
  </si>
  <si>
    <t>/rscratch/ddr_pd_china/xujia/aai_checklist/IMP-8-0-0-10.rpt</t>
  </si>
  <si>
    <t>/rscratch/ddr_pd_china/xujia/aai_checklist/IMP-8-0-0-12.rpt</t>
  </si>
  <si>
    <t>/rscratch/ddr_pd_china/xujia/aai_checklist/IMP-8-0-0-13.rpt</t>
  </si>
  <si>
    <t>/projects/yunbao_N6_80bits_EW_PHY_OD_6400/work/CDN_104H_cdn_hs_phy_data_slice_EW/duntan/sta/sta_ND-1119/cmd_run/RUNSTA/sta/CDN_104H_cdn_hs_phy_data_slice_EW_func_ffgnp_0p825v_125c_rcbest_CCbest_rcbest_CCbest_T_hold.dat/
；
 /projects/yunbao_N6_80bits_EW_PHY_OD_6400/work/CDN_104H_cdn_hs_phy_data_slice_EW/xujia/apr/CDN_104H_cdn_hs_phy_data_slice_EW.1126_fix_dontuse.enc.dat</t>
  </si>
  <si>
    <t>/projects/workbench/versions/wb_development/auto-checklist/xujia/AAI_checklist/clock_cells_with_cell_type.txt
；
/rscratch/ddr_pd_china/xujia/aai_checklist/IMP-8-0-0-14.rpt</t>
  </si>
  <si>
    <t>/rscratch/ddr_pd_china/xujia/aai_checklist/clock_cells_with_cell_type.txt
；
/rscratch/ddr_pd_china/xujia/aai_checklist/IMP-8-0-0-14.rpt</t>
  </si>
  <si>
    <t xml:space="preserve"> /rscratch/ddr_pd_china/xujia/aai_checklist/IMP-8-0-0-23.rpt</t>
  </si>
  <si>
    <t>scripts: /projects/sd2101_t6_pd/PD/work/cdrlf_wrapper/13M1X1Xa1Ya5Y2Yy2Z_UT/chyao/AI_checklist/scripts/MIG-IMP-8-1-0-02.tcl
log: /projects/sd2101_t6_pd/PD/work/cdrlf_wrapper/13M1X1Xa1Ya5Y2Yy2Z_UT/chyao/AI_checklist/checkItemOutFile/MIG-IMP-8-1-0-02.rpt</t>
  </si>
  <si>
    <t>scripts: /projects/sd2101_t6_pd/PD/work/cdrlf_wrapper/13M1X1Xa1Ya5Y2Yy2Z_UT/chyao/AI_checklist/scripts/MIG-IMP-8-1-0-03.tcl
log: /projects/sd2101_t6_pd/PD/work/cdrlf_wrapper/13M1X1Xa1Ya5Y2Yy2Z_UT/chyao/AI_checklist/checkItemOutFile/MIG-IMP-8-1-0-03.rpt</t>
  </si>
  <si>
    <t>scripts: /projects/sd2101_t6_pd/PD/work/cdrlf_wrapper/13M1X1Xa1Ya5Y2Yy2Z_UT/chyao/AI_checklist/scripts/MIG-IMP-8-1-0-04.tcl
log: /projects/sd2101_t6_pd/PD/work/cdrlf_wrapper/13M1X1Xa1Ya5Y2Yy2Z_UT/chyao/AI_checklist/checkItemOutFile/MIG-IMP-8-1-0-04.rpt</t>
  </si>
  <si>
    <t>scripts: /projects/sd2101_t6_pd/PD/work/cdrlf_wrapper/13M1X1Xa1Ya5Y2Yy2Z_UT/chyao/AI_checklist/scripts/MIG-IMP-8-1-0-05.tcl
log:/projects/sd2101_t6_pd/PD/work/cdrlf_wrapper/13M1X1Xa1Ya5Y2Yy2Z_UT/chyao/AI_checklist/checkItemOutFile/MIG-IMP-8-1-0-05.rpt</t>
  </si>
  <si>
    <t>scripts:/projects/sd2101_t6_pd/PD/work/cdrlf_wrapper/13M1X1Xa1Ya5Y2Yy2Z_UT/chyao/AI_checklist/scripts/MIG-IMP-8-1-0-07.tcl
log:/projects/sd2101_t6_pd/PD/work/cdrlf_wrapper/13M1X1Xa1Ya5Y2Yy2Z_UT/chyao/AI_checklist/checkItemOutFile/MIG-IMP-8-1-0-07.rpt</t>
  </si>
  <si>
    <t>scripts: /projects/sd2101_t6_pd/PD/work/cdrlf_wrapper/13M1X1Xa1Ya5Y2Yy2Z_UT/chyao/AI_checklist/scripts/MIG-IMP-8-1-0-12.tcl
log: /projects/sd2101_t6_pd/PD/work/cdrlf_wrapper/13M1X1Xa1Ya5Y2Yy2Z_UT/chyao/AI_checklist/checkItemOutFile/MIG-IMP-8-1-0-012.rpt</t>
  </si>
  <si>
    <t>scripts: /projects/sd2101_t6_pd/PD/work/cdrlf_wrapper/13M1X1Xa1Ya5Y2Yy2Z_UT/chyao/AI_checklist/scripts/MIG-IMP-8-1-0-13.tcl
log: /projects/sd2101_t6_pd/PD/work/cdrlf_wrapper/13M1X1Xa1Ya5Y2Yy2Z_UT/chyao/AI_checklist/checkItemOutFile/MIG-IMP-8-1-0-13.rpt</t>
  </si>
  <si>
    <t>/projects/socionext_nagoya_n1_tsmc5_32bits_phy_ddr5/work/cadence_phy_cdn_hs_phy_top/xialiou/apr/pnr-20251208/dbs/cadence_phy_cdn_hs_phy_top.innovusPreC0.enc.dat</t>
  </si>
  <si>
    <t>/rscratch/ddr_pd_china/xujia/aai_checklist/IMP-8-1-0-16.rpt</t>
  </si>
  <si>
    <t>/projects/yunbao_N6_80bits_EW_PHY_OD_6400/work/cdn_hs_phy_top/maoyali/apr/pnr-0805/dbs/postR__1115.enc.dat</t>
  </si>
  <si>
    <t>/rscratch/ddr_pd_china/xujia/aai_checklist/IMP-8-1-1-01.rpt</t>
  </si>
  <si>
    <t>scripts:/projects/sd2101_t6_pd/PD/work/cdrlf_wrapper/13M1X1Xa1Ya5Y2Yy2Z_UT/chyao/AI_checklist/scripts/MIG-IMP-8-1-1-02.tcl
log:/projects/sd2101_t6_pd/PD/work/cdrlf_wrapper/13M1X1Xa1Ya5Y2Yy2Z_UT/chyao/AI_checklist/checkItemOutFile/MIG-IMP-8-1-1-02.rpt</t>
  </si>
  <si>
    <t>scripts:/projects/sd2101_t6_pd/PD/work/cdrlf_wrapper/13M1X1Xa1Ya5Y2Yy2Z_UT/chyao/AI_checklist/scripts/MIG-IMP-8-1-1-03.tcl
log:/projects/sd2101_t6_pd/PD/work/cdrlf_wrapper/13M1X1Xa1Ya5Y2Yy2Z_UT/chyao/AI_checklist/checkItemOutFile/MIG-IMP-8-1-1-03.rpt</t>
  </si>
  <si>
    <t>scripts:/projects/sd2101_t6_pd/PD/work/cdrlf_wrapper/13M1X1Xa1Ya5Y2Yy2Z_UT/chyao/AI_checklist/scripts/MIG-IMP-8-1-1-07.tcl
log: /projects/sd2101_t6_pd/PD/work/cdrlf_wrapper/13M1X1Xa1Ya5Y2Yy2Z_UT/chyao/AI_checklist/checkItemOutFile/MIG-IMP-8-1-1-07.rpt</t>
  </si>
  <si>
    <t>scripts: /projects/sd2101_t6_pd/PD/work/cdrlf_wrapper/13M1X1Xa1Ya5Y2Yy2Z_UT/chyao/AI_checklist/scripts/MIG-IMP-8-1-1-12.tcl
log: /projects/sd2101_t6_pd/PD/work/cdrlf_wrapper/13M1X1Xa1Ya5Y2Yy2Z_UT/chyao/AI_checklist/scripts</t>
  </si>
  <si>
    <t>scripts: /projects/sd2101_t6_pd/PD/work/cdrlf_wrapper/13M1X1Xa1Ya5Y2Yy2Z_UT/chyao/AI_checklist/scripts/MIG-IMP-8-1-1-13.tcl
log: /projects/sd2101_t6_pd/PD/work/cdrlf_wrapper/13M1X1Xa1Ya5Y2Yy2Z_UT/chyao/AI_checklist/checkItemOutFile/MIG-IMP-8-1-1-13.rpt</t>
  </si>
  <si>
    <t>scripts: /projects/sd2101_t6_pd/PD/work/cdrlf_wrapper/13M1X1Xa1Ya5Y2Yy2Z_UT/chyao/AI_checklist/scripts/MIG-IMP-8-1-1-19.tcl
log: /projects/sd2101_t6_pd/PD/work/cdrlf_wrapper/13M1X1Xa1Ya5Y2Yy2Z_UT/chyao/AI_checklist/checkItemOutFile/MIG-IMP-8-1-1-19.rpt</t>
  </si>
  <si>
    <t>scripts: /projects/sd2101_t6_pd/PD/work/cdrlf_wrapper/13M1X1Xa1Ya5Y2Yy2Z_UT/chyao/AI_checklist/scripts/MIG-IMP-8-1-1-20.tcl
log: /projects/sd2101_t6_pd/PD/work/cdrlf_wrapper/13M1X1Xa1Ya5Y2Yy2Z_UT/chyao/AI_checklist/checkItemOutFile/MIG-IMP-8-1-1-20.rpt</t>
  </si>
  <si>
    <t>scripts: /projects/sd2101_t6_pd/PD/work/cdrlf_wrapper/13M1X1Xa1Ya5Y2Yy2Z_UT/chyao/AI_checklist/scripts/MIG-IMP-8-1-1-23.tcl
log: /projects/sd2101_t6_pd/PD/work/cdrlf_wrapper/13M1X1Xa1Ya5Y2Yy2Z_UT/chyao/AI_checklist/checkItemOutFile/MIG-IMP-8-1-1-23.rpt</t>
  </si>
  <si>
    <t>scripts: /projects/sd2101_t6_pd/PD/work/cdrlf_wrapper/13M1X1Xa1Ya5Y2Yy2Z_UT/chyao/AI_checklist/scripts/MIG-IMP-8-1-1-26.tcl
log: /projects/sd2101_t6_pd/PD/work/cdrlf_wrapper/13M1X1Xa1Ya5Y2Yy2Z_UT/chyao/AI_checklist/checkItemOutFile/MIG-IMP-8-1-1-26.rpt</t>
  </si>
  <si>
    <t>scripts: /projects/sd2101_t6_pd/PD/work/cdrlf_wrapper/13M1X1Xa1Ya5Y2Yy2Z_UT/chyao/AI_checklist/scripts/MIG-IMP-8-1-1-28.tcl
log: /projects/sd2101_t6_pd/PD/work/cdrlf_wrapper/13M1X1Xa1Ya5Y2Yy2Z_UT/chyao/AI_checklist/checkItemOutFile/MIG-IMP-8-1-1-28.rpt</t>
  </si>
  <si>
    <t>scripts:/projects/sd2101_t6_pd/PD/work/cdrlf_wrapper/13M1X1Xa1Ya5Y2Yy2Z_UT/chyao/AI_checklist/scripts/MIG-IMP-8-1-1-31.tcl
log: /projects/sd2101_t6_pd/PD/work/cdrlf_wrapper/13M1X1Xa1Ya5Y2Yy2Z_UT/chyao/AI_checklist/checkItemOutFile/MIG-IMP-8-1-1-31.rpt</t>
  </si>
  <si>
    <t>scripts: /projects/sd2101_t6_pd/PD/work/cdrlf_wrapper/13M1X1Xa1Ya5Y2Yy2Z_UT/chyao/AI_checklist/scripts/MIG-IMP-8-1-1-32.tcl
log: /projects/sd2101_t6_pd/PD/work/cdrlf_wrapper/13M1X1Xa1Ya5Y2Yy2Z_UT/chyao/AI_checklist/checkItemOutFile/MIG-IMP-8-1-1-32.rpt</t>
  </si>
  <si>
    <t>scripts:/projects/workbench/versions/wb_development/auto-checklist/xujia/checklistProc/RCextraction/checkRC.py log:/projects/yunbao_N6_80bits_EW_PHY_OD_6400/work/CDN_104H_cdn_hs_phy_data_slice_EW/xujia/signoff/signoff-20251126/logs/do_qrc*</t>
  </si>
  <si>
    <t>use same script and log with IMP-9-0-0-00</t>
  </si>
  <si>
    <t>scripts:/projects/workbench/versions/wb_development/auto-checklist/xujia/checklistProc/RCextraction/checkRC.py log:/projects/yunbao_N6_80bits_EW_PHY_OD_6400/work/CDN_104H_cdn_hs_phy_data_slice_EW/xujia/signoff/signoff-20251126/spef/*.incompletenets</t>
  </si>
  <si>
    <t>scripts:/projects/workbench/versions/wb_development/auto-checklist/xujia/checklistProc/RCextraction/checkRC.py log:/projects/yunbao_N6_80bits_EW_PHY_OD_6400/work/CDN_104H_cdn_hs_phy_data_slice_EW/xujia/signoff/signoff-20251126/spef/*.spef.gz</t>
  </si>
  <si>
    <t>/projects/sd2101_i3_pd/i3_wb/cdn_sd2101_i3p765_vm130_6x2ya2yb2yc2yd1ye1ga1gb/sta/eFV/sta_0820/dbs/cdn_sd2101_i3p765_vm130_6x2ya2yb2yc2yd1ye1ga1gb_func_rcss_0p675v_m40c_pcss_cmax_pcff3_setup.dat</t>
  </si>
  <si>
    <t>C:\Users\yuyin\Desktop\CHECKLIST\IP_project_folder\logs\sta_post_syn.log</t>
  </si>
  <si>
    <t>Parse sta_post_syn.log to extract netlist/SPEF file paths and status; Read netlist file (.v/.v.gz) to get Genus version and generation date; Read SPEF file (.spef/.spef.gz) to get Quantus version and generation date; Verify files are loaded successfully; "Skipping SPEF reading" counts as FAIL</t>
  </si>
  <si>
    <t>C:\Users\yuyin\Desktop\CHECKLIST\IP_project_folder\reports\constr.rpt</t>
  </si>
  <si>
    <t>Parse constr.rpt to extract set_clock_uncertainty commands; Extract metadata (tool version, generation date, design name); Verify existence and content consistency with expected patterns; Support waiver for missing or mismatched constraints</t>
  </si>
  <si>
    <t>C:\Users\yuyin\Desktop\CHECKLIST\IP_project_folder\reports\uncons_clocks.rpt.gz</t>
  </si>
  <si>
    <t>Parse check_timing.rpt Summary section for ideal_clock_waveform count; Parse TIMING CHECK IDEAL CLOCKS detail section for specific clock names; Use detail list as primary source (more reliable than summary count); Validate Summary count matches Detail list length; Support exact matching for pattern_items and waive_items</t>
  </si>
  <si>
    <t>C:\Users\yuyin\Desktop\CHECKLIST\IP_project_folder\reports\clocks.rpt.gz</t>
  </si>
  <si>
    <t>Parse clocks.rpt to extract clock names and propagation status; Extract metadata (tool version, generation date, design name); Verify all clocks are propagated (Propagated = y); Support waiver for clocks that are allowed to be non-propagated</t>
  </si>
  <si>
    <t>Extract SI-related settings from Tempus log; Check: Signoff Settings, delaycal_enable_si, CCS noise data, glitch analysis, CCS library; Type 1: Boolean check (all 5 indicators must be found); Type 2/3: Pattern matching with optional waiver logic</t>
  </si>
  <si>
    <t>Extract OCV-related settings from Tempus log; Check: Analysis Mode, spatial derate settings, SOCV RC variation, wire derate, SOCV files; Type 1: Boolean check (all 6 indicators must be found); Type 2/3: Pattern matching with optional waiver logic</t>
  </si>
  <si>
    <t>Extract set_max_transition commands for each clock; Check: Each clock must have both -clock_path and -data_path settings; Type 1: Boolean check (all clocks must be complete); Type 2/3: Pattern matching with optional waiver logic</t>
  </si>
  <si>
    <t>Parse STA log to check for path group timing report commands; Verify all 6 path groups exist: in2out/in2reg/reg2out/reg2reg/default/cgdefault; Report missing path groups as violations</t>
  </si>
  <si>
    <t>signoff_check/cdn_sd2101_i3p765_vm130_6x2ya2yb2yc2yd1ye1ga1gb_StaSignOff_timing_summary.xls</t>
  </si>
  <si>
    <t>signoff_check/cdn_sd2101_i3p765_vm130_6x2ya2yb2yc2yd1ye1ga1gb_maxtran_list.rpt</t>
  </si>
  <si>
    <t>signoff_check/cdn_sd2101_i3p765_vm130_6x2ya2yb2yc2yd1ye1ga1gb_maxcap_list.rpt</t>
  </si>
  <si>
    <t>signoff_check/cdn_sd2101_i3p765_vm130_6x2ya2yb2yc2yd1ye1ga1gb_StaSignOff_glitch_summary.xls and  signoff_check/cdn_sd2101_i3p765_vm130_6x2ya2yb2yc2yd1ye1ga1gb_si_viol_list.rpt</t>
  </si>
  <si>
    <t>rpts/func_rcss_0p675v_125c_pcss_cmax_pcff3_setup/cdn_sd2101_i3p765_vm130_6x2ya2yb2yc2yd1ye1ga1gb_si_double_clocking.txt</t>
  </si>
  <si>
    <t>signoff_check/cdn_sd2101_i3p765_vm130_6x2ya2yb2yc2yd1ye1ga1gb_StaSignOff_mpw_summary.xls and signoff_check/cdn_sd2101_i3p765_vm130_6x2ya2yb2yc2yd1ye1ga1gb_mpw_viol_list.rpt</t>
  </si>
  <si>
    <t>sta_post_sta.log and sta_post_soute.log(all corners)</t>
  </si>
  <si>
    <t>.measure?</t>
  </si>
  <si>
    <t>signoff_check/cdn_sd2101_i3p765_vm130_6x2ya2yb2yc2yd1ye1ga1gb_StaSignOff_check_timing_summary.xls</t>
  </si>
  <si>
    <t>signoff_check/cdn_sd2101_i3p765_vm130_6x2ya2yb2yc2yd1ye1ga1gb_StaSignOff_check_design_summary.xls</t>
  </si>
  <si>
    <t>xxx</t>
  </si>
  <si>
    <t xml:space="preserve"> 10.1 - STA/DCD CHECK (ONLY FOR MIG HSPHY/HPPHY/DFPHY/GDDRPHY)</t>
  </si>
  <si>
    <t>MIG-IMP-10-1-0-00</t>
  </si>
  <si>
    <t xml:space="preserve">Confirm the the cell list specified in library_setup/set_instance_voltage.tcl in STA environment matches to the real physical implemention for projects with regulator.  Please do local update for VDDR domain cell list in the file when needed. </t>
  </si>
  <si>
    <t>MIG-IMP-10-1-0-01</t>
  </si>
  <si>
    <t>MIG-IMP-10-1-0-02</t>
  </si>
  <si>
    <t>MIG-IMP-10-1-0-03</t>
  </si>
  <si>
    <t xml:space="preserve">sta_post_sta.log </t>
  </si>
  <si>
    <t>search library version</t>
  </si>
  <si>
    <t>MIG-IMP-10-1-0-04</t>
  </si>
  <si>
    <t xml:space="preserve">Confirm have provided verification team post-simulation related files to set post-sim environment. (TT corner,Timing violations within uncertainty, skew no impact post-sim) in stable stage and close to final version (SS/TT/FF corners,Timing violations within uncertainty, skew violations less than 10ps) post-simulation related files 2 weeks for slices (4 weeks for phy_top) before final delivery. </t>
  </si>
  <si>
    <t>MIG-IMP-10-1-1-00</t>
  </si>
  <si>
    <t>[DCD check]
Confirm the spice used for DCD run is lpe based spice netlist with RC information. Otherwise the DCD results are not accurate. (Check the Notes)</t>
  </si>
  <si>
    <t>ss.log/ff.log</t>
  </si>
  <si>
    <t>MIG-IMP-10-1-1-01</t>
  </si>
  <si>
    <t xml:space="preserve">[DCD check]
Confirm with Balbeer the DCD flow and results are valid. </t>
  </si>
  <si>
    <t>MIG-IMP-10-1-1-02</t>
  </si>
  <si>
    <t xml:space="preserve">[DCD check]
Confirm with Kato-san if DCD results is not meet the target.  </t>
  </si>
  <si>
    <t>MIG-IMP-10-1-2-00</t>
  </si>
  <si>
    <t>[ETMQA check]
Confirm this program will support ETM based timing signoff on customer side. (Fill N/A if it doesn't support ETM based timing signoff on customer side, check with design team or PM about the details)</t>
  </si>
  <si>
    <t>MIG-IMP-10-1-2-01</t>
  </si>
  <si>
    <t>[ETMQA check]
Confirm there is no issue for ETMQA flow. You can refer to /projects/workbench/versions/workbench_v0.8/workbench/kits/wrapper/etmQA_review_guide about how to check the results. Please contact ipg_mig_arch_pd if you run into any issue for the flow. （Fill N/A if customer will not run ETM based STA)</t>
  </si>
  <si>
    <t>MIG-IMP-10-1-2-02</t>
  </si>
  <si>
    <t>[ETMQA check]
Please provide the ETMQA run dir in comment. （Fill N/A if customer will not run ETM based STA)</t>
  </si>
  <si>
    <t xml:space="preserve"> 10.2 - STA/DCD CHECK (ONLY FOR HBM)</t>
  </si>
  <si>
    <t>HBM-IMP-10-2-0-00</t>
  </si>
  <si>
    <t>HBM-IMP-10-2-0-01</t>
  </si>
  <si>
    <t>HBM-IMP-10-2-0-02</t>
  </si>
  <si>
    <t>HBM-IMP-10-2-0-03</t>
  </si>
  <si>
    <t>IMP-7-0-0-00 result</t>
  </si>
  <si>
    <t>if {phy top || tv_chip}  { yes} else { no}</t>
  </si>
  <si>
    <t>/projects/Semidynamics_TN3P_LP5X_Dragonfly_9600_32bit_PHY_EW/setup/yaml/setup_vars.tcl</t>
  </si>
  <si>
    <t xml:space="preserve"> if {MISC(DESIGN_PROCESS)  == [tsmcN5 |tsmcN4 |tsmcN3 ] } { yes } else { no}</t>
  </si>
  <si>
    <t xml:space="preserve">/projects/Semidynamics_TN3P_LP5X_Dragonfly_9600_32bit_PHY_EW/setup/yaml/setup_vars.tcl /projects/Semidynamics_TN3P_LP5X_Dragonfly_9600_32bit_PHY_EW/release/PERC/from_AMS/ip9k_SD_LP5X_tn3p_17M_1Xa1Xb1Xc1Xd1Ya1Yb6Y2Yy2R_pass2_20250708/cdns_lp5x_x32_ew_phy_top_top_pin_voltage.txt </t>
  </si>
  <si>
    <t>search tt*ddrio in setup_var.tcl get the tt corner ddrio lib, check all lib in tt corner and grep "voltage_map" to get all voltage and compare the file voltage.txt</t>
  </si>
  <si>
    <t xml:space="preserve">/projects/Semidynamics_TN3P_LP5X_Dragonfly_9600_32bit_PHY_EW/work/cdns_lp5x_x32_ew_phy_top/bokong/perc/pass2/CD_Chip/perc.rep
/projects/Semidynamics_TN3P_LP5X_Dragonfly_9600_32bit_PHY_EW/work/cdns_lp5x_x32_ew_phy_top/bokong/perc/pass2/CD_IP/perc.rep
/projects/Semidynamics_TN3P_LP5X_Dragonfly_9600_32bit_PHY_EW/work/cdns_lp5x_x32_ew_phy_top/bokong/perc/pass2/LDL/perc.rep
/projects/Semidynamics_TN3P_LP5X_Dragonfly_9600_32bit_PHY_EW/work/cdns_lp5x_x32_ew_phy_top/bokong/perc/pass2/P2P_Chip/perc.rep
/projects/Semidynamics_TN3P_LP5X_Dragonfly_9600_32bit_PHY_EW/work/cdns_lp5x_x32_ew_phy_top/bokong/perc/pass2/P2P_IP/perc.rep
/projects/Semidynamics_TN3P_LP5X_Dragonfly_9600_32bit_PHY_EW/work/cdns_lp5x_x32_ew_phy_top/bokong/perc/pass2/Topology_cdl/perc.rep
/projects/Semidynamics_TN3P_LP5X_Dragonfly_9600_32bit_PHY_EW/work/cdns_lp5x_x32_ew_phy_top/bokong/perc/pass2/Topology/perc.rep
</t>
  </si>
  <si>
    <t>all report are "CHECK(s) PASS " or waver for violations</t>
  </si>
  <si>
    <t>/projects/Semidynamics_TN3P_LP5X_Dragonfly_9600_32bit_PHY_EW/work/cdns_lp5x_x32_ew_phy_top/bokong/perc/pass2/CNOD/perc.rep</t>
  </si>
  <si>
    <t xml:space="preserve">if IMP-15-0-0-01 then check report  "CHECK(s) PASS   or waiver else NA </t>
  </si>
  <si>
    <t>check this item by user.</t>
  </si>
  <si>
    <t xml:space="preserve">/projects/blueman_BM_N5G_80bit_phy/libs/iptag/phy_iptag.prod </t>
  </si>
  <si>
    <t>parser input and all item are met rule(format)</t>
  </si>
  <si>
    <t>/projects/blueman_BM_N5G_80bit_phy/work/cdn_hs_phy_top/ericchou/signoff/signoff-20220926-update-ddrio/dbs/cdn_hs_phy_top.wIPTAG.gds.gz</t>
  </si>
  <si>
    <t xml:space="preserve">/projects/blueman_BM_N5G_80bit_phy/work/cdn_hs_phy_top/ericchou/signoff/signoff-20220926-update-ddrio/cmd_run/IPTAG/cdn_hs_phy_top.csv  /projects/blueman_BM_N5G_80bit_phy/libs/iptag/phy_iptag.prod </t>
  </si>
  <si>
    <t xml:space="preserve">1. parser phy_iptag.prod and join the first item in each line (not # , END ,""}  to get the golden iptag 2. search  ',phy_name,"phy_name"' in .csv file and set ',' to token get the 4th item to get the check iptag 3. compare golden iptag == check iptag then yes else Error   </t>
  </si>
  <si>
    <t>/projects/blueman_BM_N5G_80bit_phy/work/cdn_hs_phy_top/ericchou/signoff/signoff-20220926-update-ddrio/cmd_run/IPTAG/cdn_hs_phy_top.csv</t>
  </si>
  <si>
    <t>1. search  ',phy_name,"phy_name"' in .csv file and set ',' to token get the 4th item to get the phy iptag  2. search  ',block_name,"block_name"' in .csv file and set ',' to token get the 4th item to get the block iptag 3. if 1 exists and 2  not exists : hard phy delivery; if 1 not exists and 2 exists  : firm phy delivery if 1 and 2 are not exist : Error</t>
  </si>
  <si>
    <t>if IMP-16-0-0-02 is firm phy delivery then block iptag 2 bit is P : yes else Error</t>
  </si>
  <si>
    <t>if block iptag and phy iptag are exist then Yes else No</t>
  </si>
  <si>
    <t>if IMP-16-0-0-04 == yes ,then if phy iptag == block iptag then yes else  Error , else NA</t>
  </si>
  <si>
    <t>Confirm you followed the below document about IPTAG creation. If you have further question, please check with Tobing.
HSPHY/HPPHY/DFPHY/GDDR/HBM: 
https://cadence.sharepoint.com/:w:/r/sites/IPGroup/DesignIP/Quality/_layouts/15/Doc.aspx?sourcedoc=%7B26DAB946-483A-415F-AC0C-C195C0838506%7D&amp;file=IP%20Number%20Format%20-%20DDR%20PHY.docx&amp;wdLOR=cF5835961-1465-461D-BAFD-3F0590F6A7F9&amp;action=default&amp;mobileredirect=true
SERDES:
https://cadence.sharepoint.com/:w:/r/sites/IPGroup/DesignIP/Quality/IP_Numbers/IP%20Number%20Format%20-%20SerDes.docx?d=wf015c37bca9b4d3d951589cf616333fe&amp;csf=1&amp;web=1</t>
  </si>
  <si>
    <t>/projects/blueman_BM_N5G_80bit_phy/libs/iptag/phy_iptag.prod</t>
  </si>
  <si>
    <t xml:space="preserve">parser phy_iptag.prod is met the rule in https://cadence.sharepoint.com/:w:/r/sites/IPGroup/DesignIP/Quality/_layouts/15/Doc.aspx?sourcedoc=%7B26DAB946-483A-415F-AC0C-C195C0838506%7D&amp;file=IP%20Number%20Format%20-%20DDR%20PHY.docx&amp;wdLOR=cF5835961-1465-461D-BAFD-3F0590F6A7F9&amp;action=default&amp;mobileredirect=true
</t>
  </si>
  <si>
    <t>release/gds.gz</t>
  </si>
  <si>
    <t xml:space="preserve">run /local/method/scripts/IP_checker/ipg_release_001/IP_TAG_Tool_v2d3_Cadence/IP_CHECKER/RHE4_Linux/IP_checker.Linux -csv release/gds.gz to get .csv file and get iptag on top module. if iptag exists yes else Error
</t>
  </si>
  <si>
    <t>Owner</t>
  </si>
  <si>
    <t>ETA</t>
  </si>
  <si>
    <t>Status
(Completed/In Progress/Not Started)</t>
  </si>
  <si>
    <t>Completed Date</t>
  </si>
  <si>
    <t>Review Notes</t>
  </si>
  <si>
    <t>/projects/TC73_DDR5_12800_N5P/work/CDN_204H_cdn_hs_phy_data_slice/chenweif/signoff/signoff-1129/logs/do_innovusOUTwoD.logv</t>
  </si>
  <si>
    <t>${CHECKLIST_ROOT}\IP_project_folder\logs\2.0\do_innovusOUTwoD.logv</t>
  </si>
  <si>
    <t>Find Tech Lef name in latest signoff run log: do_innovusOUTwoD.logv</t>
  </si>
  <si>
    <t>Chenwei Fan</t>
  </si>
  <si>
    <t>Completed</t>
  </si>
  <si>
    <t>[2026-1-22] Source file &amp; line need to be added in the log/rpts</t>
  </si>
  <si>
    <t>Find gdsout map name in latest signoff run log: do_innovusOUTwoD.logv</t>
  </si>
  <si>
    <t>(source log file)
/projects/TC73_DDR5_12800_N5P/work/cdn_hs_phy_top/zhongyus/signoff/signoff-1202/pvs_run/DRCwD/pegasus-1765020757-nfdpcsr097-2450107/pvl.log</t>
  </si>
  <si>
    <t xml:space="preserve">${CHECKLIST_ROOT}\IP_project_folder\logs\2.0\DRC_pvl.log
</t>
  </si>
  <si>
    <r>
      <rPr>
        <b/>
        <sz val="10"/>
        <color rgb="FF3F3F76"/>
        <rFont val="Calibri"/>
        <scheme val="minor"/>
      </rPr>
      <t xml:space="preserve">Golden Value Resource:
</t>
    </r>
    <r>
      <rPr>
        <sz val="10"/>
        <color rgb="FF3F3F76"/>
        <rFont val="Calibri"/>
        <scheme val="minor"/>
      </rPr>
      <t xml:space="preserve">${CHECKLIST_ROOT}\IP_project_folder\tcl\2.0\T5G_CTAF.xlsx (/local/method/CTAF/T5G_CTAF/ipg_release_151/T5G_CTAF.xlsx)
Script: </t>
    </r>
    <r>
      <rPr>
        <sz val="10"/>
        <color rgb="FFFF0000"/>
        <rFont val="Calibri"/>
        <scheme val="minor"/>
      </rPr>
      <t xml:space="preserve">${CHECKLIST_ROOT}\Data_interface\2.0\parse_CTAF_version.py
</t>
    </r>
    <r>
      <rPr>
        <sz val="10"/>
        <color rgb="FF3F3F76"/>
        <rFont val="Calibri"/>
        <scheme val="minor"/>
      </rPr>
      <t xml:space="preserve">(Example: python parse_CTAF_version.py T5G_CTAF.xlsx DRC)
</t>
    </r>
    <r>
      <rPr>
        <b/>
        <sz val="10"/>
        <color rgb="FF3F3F76"/>
        <rFont val="Calibri"/>
        <scheme val="minor"/>
      </rPr>
      <t xml:space="preserve">Method:
</t>
    </r>
    <r>
      <rPr>
        <sz val="10"/>
        <color rgb="FF3F3F76"/>
        <rFont val="Calibri"/>
        <scheme val="minor"/>
      </rPr>
      <t>1. Search DRC ruledeck path in pvl.log (if ruledeck path exists, Type1/4 PASS)
2. Parse ruledeck file and extract {FILE DOCUMENT} and {FILE VERSION}
3. Golden {FILE DOCUMENT} and {FILE VERSION} are extracted from CTAF xlsx with Python Script
4. Compare with golden (if all match, Type 2/3 PASS)
5. Type 3 Waiver can waive mismatched ruledeck</t>
    </r>
  </si>
  <si>
    <r>
      <rPr>
        <b/>
        <sz val="10"/>
        <color rgb="FF3F3F76"/>
        <rFont val="Calibri"/>
        <scheme val="minor"/>
      </rPr>
      <t xml:space="preserve">Golden Value Resource:
</t>
    </r>
    <r>
      <rPr>
        <sz val="10"/>
        <color rgb="FF3F3F76"/>
        <rFont val="Calibri"/>
        <scheme val="minor"/>
      </rPr>
      <t xml:space="preserve">Must specify original DRC rule deck file path
</t>
    </r>
    <r>
      <rPr>
        <b/>
        <sz val="10"/>
        <color rgb="FF3F3F76"/>
        <rFont val="Calibri"/>
        <scheme val="minor"/>
      </rPr>
      <t xml:space="preserve">Method:
</t>
    </r>
    <r>
      <rPr>
        <sz val="10"/>
        <color rgb="FF3F3F76"/>
        <rFont val="Calibri"/>
        <scheme val="minor"/>
      </rPr>
      <t>1. Remove // in each matched line for origin ruledeck and local ruledeck
2. Import difflib to compare local/origin ruledeck by each line, and generate an output file
3. Type 1/4 only print out the local ruledeck file name.
4. Type 2/3 print the local/origin ruledeck file name. And the difference file. User must look into this file and give comment for each difference.</t>
    </r>
  </si>
  <si>
    <t>Confirm latest Antenna rule deck(s) was used? List ANT rule deck name in Comments. 
eg: PLN3ELO_17M_1Xa1Xb1Xc1Xd1Ya1Yb4Y2Yy2Yx2R_014_ANT.11_2a.encrypt
      PLN3ELO_17M_1Xa1Xb1Xc1Xd1Ya1Yb4Y2Yy2Yx2R_014_SHDMIM_ANT.11_2a.encrypt</t>
  </si>
  <si>
    <t>(source log file)
/projects/TC73_DDR5_12800_N5P/work/cdn_hs_phy_top/zhongyus/signoff/signoff-1202/pvs_run/ANTwD/pegasus-1765020757-nfdpc205-353423/pvl.log</t>
  </si>
  <si>
    <t xml:space="preserve">${CHECKLIST_ROOT}\IP_project_folder\logs\2.0\ANT_pvl.log
</t>
  </si>
  <si>
    <r>
      <rPr>
        <b/>
        <sz val="10"/>
        <color rgb="FF3F3F76"/>
        <rFont val="Calibri"/>
        <scheme val="minor"/>
      </rPr>
      <t xml:space="preserve">Golden Value Resource:
</t>
    </r>
    <r>
      <rPr>
        <sz val="10"/>
        <color rgb="FF3F3F76"/>
        <rFont val="Calibri"/>
        <scheme val="minor"/>
      </rPr>
      <t xml:space="preserve">${CHECKLIST_ROOT}\IP_project_folder\tcl\2.0\T5G_CTAF.xlsx (/local/method/CTAF/T5G_CTAF/ipg_release_151/T5G_CTAF.xlsx)
Script: ${CHECKLIST_ROOT}\Data_interface\2.0\parse_CTAF_version.py
(Example: python parse_CTAF_version.py T5G_CTAF.xlsx ANT)
</t>
    </r>
    <r>
      <rPr>
        <b/>
        <sz val="10"/>
        <color rgb="FF3F3F76"/>
        <rFont val="Calibri"/>
        <scheme val="minor"/>
      </rPr>
      <t xml:space="preserve">Method:
</t>
    </r>
    <r>
      <rPr>
        <sz val="10"/>
        <color rgb="FF3F3F76"/>
        <rFont val="Calibri"/>
        <scheme val="minor"/>
      </rPr>
      <t>1. Search ANT ruledeck path in pvl.log (if ruledeck path exists, Type1/4 PASS)
2. Parse ruledeck file and extract {FILE DOCUMENT} and {FILE VERSION}
3. Golden {FILE DOCUMENT} and {FILE VERSION} are extracted from CTAF xlsx with Python Script
4. Compare with golden (if all match, Type 2/3 PASS)
5. Type 3 Waiver can waive mismatched ruledeck</t>
    </r>
  </si>
  <si>
    <r>
      <rPr>
        <b/>
        <sz val="10"/>
        <color rgb="FF3F3F76"/>
        <rFont val="Calibri"/>
        <scheme val="minor"/>
      </rPr>
      <t xml:space="preserve">Golden Value Resource:
</t>
    </r>
    <r>
      <rPr>
        <sz val="10"/>
        <color rgb="FF3F3F76"/>
        <rFont val="Calibri"/>
        <scheme val="minor"/>
      </rPr>
      <t xml:space="preserve">Must specify original ANT rule deck file path
</t>
    </r>
    <r>
      <rPr>
        <b/>
        <sz val="10"/>
        <color rgb="FF3F3F76"/>
        <rFont val="Calibri"/>
        <scheme val="minor"/>
      </rPr>
      <t xml:space="preserve">Method:
</t>
    </r>
    <r>
      <rPr>
        <sz val="10"/>
        <color rgb="FF3F3F76"/>
        <rFont val="Calibri"/>
        <scheme val="minor"/>
      </rPr>
      <t>1. Remove // in each matched line for origin ruledeck and local ruledeck
2. Import difflib to compare local/origin ruledeck by each line, and generate an output file
3. Type 1/4 only print out the local ruledeck file name.
4. Type 2/3 print the local/origin ruledeck file name. And the difference file. User must look into this file and give comment for each difference.</t>
    </r>
  </si>
  <si>
    <t>(source log file)
/projects/TC73_DDR5_12800_N5P/work/cdn_hs_phy_top/zhongyus/signoff/signoff-1202/pvs_run/LVSwD/pegasus-1765020759-nfdpcsr037-2080242/pvl.log</t>
  </si>
  <si>
    <t xml:space="preserve">${CHECKLIST_ROOT}\IP_project_folder\logs\2.0\LVS_pvl.log
</t>
  </si>
  <si>
    <r>
      <rPr>
        <b/>
        <sz val="10"/>
        <color rgb="FF3F3F76"/>
        <rFont val="Calibri"/>
        <scheme val="minor"/>
      </rPr>
      <t xml:space="preserve">Golden Value Resource:
</t>
    </r>
    <r>
      <rPr>
        <sz val="10"/>
        <color rgb="FF3F3F76"/>
        <rFont val="Calibri"/>
        <scheme val="minor"/>
      </rPr>
      <t xml:space="preserve">${CHECKLIST_ROOT}\IP_project_folder\tcl\2.0\T5G_CTAF.xlsx (/local/method/CTAF/T5G_CTAF/ipg_release_151/T5G_CTAF.xlsx)
Script: ${CHECKLIST_ROOT}\Data_interface\2.0\parse_CTAF_version.py
(Example: python parse_CTAF_version.py T5G_CTAF.xlsx LVS)
</t>
    </r>
    <r>
      <rPr>
        <b/>
        <sz val="10"/>
        <color rgb="FF3F3F76"/>
        <rFont val="Calibri"/>
        <scheme val="minor"/>
      </rPr>
      <t xml:space="preserve">Method:
</t>
    </r>
    <r>
      <rPr>
        <sz val="10"/>
        <color rgb="FF3F3F76"/>
        <rFont val="Calibri"/>
        <scheme val="minor"/>
      </rPr>
      <t>1. Search LVS ruledeck path in pvl.log (if ruledeck path exists, Type1/4 PASS)
2. Parse ruledeck file and extract {FILE DOCUMENT} and {FILE VERSION}
3. Golden {FILE DOCUMENT} and {FILE VERSION} are extracted from CTAF xlsx with Python Script
4. Compare with golden (if all match, Type 2/3 PASS)
5. Type 3 Waiver can waive mismatched ruledeck</t>
    </r>
  </si>
  <si>
    <r>
      <rPr>
        <b/>
        <sz val="10"/>
        <color rgb="FF3F3F76"/>
        <rFont val="Calibri"/>
        <scheme val="minor"/>
      </rPr>
      <t xml:space="preserve">Golden Value Resource:
</t>
    </r>
    <r>
      <rPr>
        <sz val="10"/>
        <color rgb="FF3F3F76"/>
        <rFont val="Calibri"/>
        <scheme val="minor"/>
      </rPr>
      <t xml:space="preserve">Must specify original LVS rule deck file path
</t>
    </r>
    <r>
      <rPr>
        <b/>
        <sz val="10"/>
        <color rgb="FF3F3F76"/>
        <rFont val="Calibri"/>
        <scheme val="minor"/>
      </rPr>
      <t xml:space="preserve">Method:
</t>
    </r>
    <r>
      <rPr>
        <sz val="10"/>
        <color rgb="FF3F3F76"/>
        <rFont val="Calibri"/>
        <scheme val="minor"/>
      </rPr>
      <t>1. Remove // in each matched line for origin ruledeck and local ruledeck
2. Import difflib to compare local/origin ruledeck by each line, and generate an output file
3. Type 1/4 only print out the local ruledeck file name.
4. Type 2/3 print the local/origin ruledeck file name. And the difference file. User must look into this file and give comment for each difference.</t>
    </r>
  </si>
  <si>
    <t>(source log file)
/projects/TC73_DDR5_12800_N5P/work/cdn_hs_phy_top/zhongyus/signoff/signoff-1202/pvs_run/BUMPDRCwD/pegasus-1765020757-nfdpcsr014-872572/pvl.log</t>
  </si>
  <si>
    <t xml:space="preserve">${CHECKLIST_ROOT}\IP_project_folder\logs\2.0\BUMP_pvl.log
</t>
  </si>
  <si>
    <r>
      <rPr>
        <b/>
        <sz val="10"/>
        <color rgb="FF3F3F76"/>
        <rFont val="Calibri"/>
        <scheme val="minor"/>
      </rPr>
      <t xml:space="preserve">Golden Value Resource:
</t>
    </r>
    <r>
      <rPr>
        <sz val="10"/>
        <color rgb="FF3F3F76"/>
        <rFont val="Calibri"/>
        <scheme val="minor"/>
      </rPr>
      <t xml:space="preserve">${CHECKLIST_ROOT}\IP_project_folder\tcl\2.0\T5G_CTAF.xlsx (/local/method/CTAF/T5G_CTAF/ipg_release_151/T5G_CTAF.xlsx)
Script: ${CHECKLIST_ROOT}\Data_interface\2.0\parse_CTAF_version.py
(Example: python parse_CTAF_version.py T5G_CTAF.xlsx BUMP)
</t>
    </r>
    <r>
      <rPr>
        <b/>
        <sz val="10"/>
        <color rgb="FF3F3F76"/>
        <rFont val="Calibri"/>
        <scheme val="minor"/>
      </rPr>
      <t xml:space="preserve">Method:
</t>
    </r>
    <r>
      <rPr>
        <sz val="10"/>
        <color rgb="FF3F3F76"/>
        <rFont val="Calibri"/>
        <scheme val="minor"/>
      </rPr>
      <t>1. Search BUMP DRC ruledeck path in pvl.log (if ruledeck path exists, Type1/4 PASS)
2. Parse ruledeck file and extract {FILE DOCUMENT} and {FILE VERSION}
3. Golden {FILE DOCUMENT} and {FILE VERSION} are extracted from CTAF xlsx with Python Script
4. Compare with golden (if all match, Type 2/3 PASS)
5. Type 3 Waiver can waive mismatched ruledeck</t>
    </r>
  </si>
  <si>
    <r>
      <rPr>
        <b/>
        <sz val="11"/>
        <color theme="1"/>
        <rFont val="Calibri"/>
        <family val="2"/>
        <scheme val="minor"/>
      </rPr>
      <t xml:space="preserve"> [2026-1-28] Source file &amp; line need to be added in the log/rpts</t>
    </r>
    <r>
      <rPr>
        <sz val="11"/>
        <color theme="1"/>
        <rFont val="Calibri"/>
        <family val="2"/>
        <scheme val="minor"/>
      </rPr>
      <t xml:space="preserve">
failures: 
      - index: 1
        detail: BUMP_rule_deck
        source_line: N/A
        source_file: N/A
        reason: Current rule deck document or version does not match expected values - incorrect BUMP rule deck version in use</t>
    </r>
  </si>
  <si>
    <r>
      <rPr>
        <b/>
        <sz val="10"/>
        <color rgb="FF3F3F76"/>
        <rFont val="Calibri"/>
        <scheme val="minor"/>
      </rPr>
      <t xml:space="preserve">Golden Value Resource:
</t>
    </r>
    <r>
      <rPr>
        <sz val="10"/>
        <color rgb="FF3F3F76"/>
        <rFont val="Calibri"/>
        <scheme val="minor"/>
      </rPr>
      <t xml:space="preserve">Must specify original BUMP rule deck file path
</t>
    </r>
    <r>
      <rPr>
        <b/>
        <sz val="10"/>
        <color rgb="FF3F3F76"/>
        <rFont val="Calibri"/>
        <scheme val="minor"/>
      </rPr>
      <t xml:space="preserve">Method:
</t>
    </r>
    <r>
      <rPr>
        <sz val="10"/>
        <color rgb="FF3F3F76"/>
        <rFont val="Calibri"/>
        <scheme val="minor"/>
      </rPr>
      <t>1. Remove // in each matched line for origin ruledeck and local ruledeck
2. Import difflib to compare local/origin ruledeck by each line, and generate an output file
3. Type 1/4 only print out the local ruledeck file name.
4. Type 2/3 print the local/origin ruledeck file name. And the difference file. User must look into this file and give comment for each difference.</t>
    </r>
  </si>
  <si>
    <t>/projects/TC73_DDR5_12800_N5P/work/cdn_hs_phy_top/zhongyus/signoff/signoff-1202/pvs_run/FEOL/pegasus-1764669896-nfdpcsr041-3941600/pvl.log</t>
  </si>
  <si>
    <t>${CHECKLIST_ROOT}\IP_project_folder\logs\2.0\FEOL_pvl.log</t>
  </si>
  <si>
    <r>
      <rPr>
        <b/>
        <sz val="10"/>
        <color rgb="FF3F3F76"/>
        <rFont val="Calibri"/>
        <scheme val="minor"/>
      </rPr>
      <t xml:space="preserve">Method:
</t>
    </r>
    <r>
      <rPr>
        <sz val="10"/>
        <color rgb="FF3F3F76"/>
        <rFont val="Calibri"/>
        <scheme val="minor"/>
      </rPr>
      <t xml:space="preserve">1. Search FEOL ruledeck path in pvl.log (if ruledeck path exists, Type1/4 PASS)
</t>
    </r>
  </si>
  <si>
    <t>/projects/TC73_DDR5_12800_N5P/work/cdn_hs_phy_top/zhongyus/signoff/signoff-1202/pvs_run/BEOL/pegasus-1764669896-nfdpcsr170.cadence.com-3682609/pvl.log</t>
  </si>
  <si>
    <t>${CHECKLIST_ROOT}\IP_project_folder\logs\2.0\BEOL_pvl.log</t>
  </si>
  <si>
    <r>
      <rPr>
        <b/>
        <sz val="10"/>
        <color rgb="FF3F3F76"/>
        <rFont val="Calibri"/>
        <scheme val="minor"/>
      </rPr>
      <t xml:space="preserve">Method:
</t>
    </r>
    <r>
      <rPr>
        <sz val="10"/>
        <color rgb="FF3F3F76"/>
        <rFont val="Calibri"/>
        <scheme val="minor"/>
      </rPr>
      <t xml:space="preserve">1. Search BEOL ruledeck path in pvl.log (if ruledeck path exists, Type1/4 PASS)
</t>
    </r>
  </si>
  <si>
    <t>/projects/Degirum_12FFC_32bits_phy/work/cdn_hs_phy_top/baoguang/signoff/signoff-0604/pvs_run/COD/pegasus-1717489591-nfdpc324-252029/pvl.log</t>
  </si>
  <si>
    <t>${CHECKLIST_ROOT}\IP_project_folder\logs\2.0\COD_pvl.log</t>
  </si>
  <si>
    <r>
      <rPr>
        <b/>
        <sz val="10"/>
        <color rgb="FF3F3F76"/>
        <rFont val="Calibri"/>
        <scheme val="minor"/>
      </rPr>
      <t xml:space="preserve">Method:
</t>
    </r>
    <r>
      <rPr>
        <sz val="10"/>
        <color rgb="FF3F3F76"/>
        <rFont val="Calibri"/>
        <scheme val="minor"/>
      </rPr>
      <t>1. Search BEOL ruledeck path in pvl.log (if ruledeck path exists, Type1/4 PASS)
2. Waive this item check if there is no COD check (waiver=0)</t>
    </r>
  </si>
  <si>
    <t>/projects/TC73_DDR5_12800_N5P/libs/pgv/esd_ffgnp_0p825v_125c_cbest_CCbest_T/macros_ESD_PCLAMP_IO_P1_V_M8.cl/command_list.btxt</t>
  </si>
  <si>
    <t>${CHECKLIST_ROOT}\IP_project_folder\logs\2.0\command_list.btxt</t>
  </si>
  <si>
    <r>
      <rPr>
        <b/>
        <sz val="10"/>
        <color rgb="FF3F3F76"/>
        <rFont val="Calibri"/>
        <scheme val="minor"/>
      </rPr>
      <t xml:space="preserve">Method:
</t>
    </r>
    <r>
      <rPr>
        <sz val="10"/>
        <color rgb="FF3F3F76"/>
        <rFont val="Calibri"/>
        <scheme val="minor"/>
      </rPr>
      <t xml:space="preserve">1. Search Spice Model path in .cl (if spice model path exists, Type1/4 PASS)
</t>
    </r>
  </si>
  <si>
    <t>/projects/TC73_DDR5_12800_N5P/work/CDN_204H_cdn_hs_phy_data_slice/chenweif/signoff/signoff-1129/logs/func_func_ssgnp_0p675v_125c_cworst_CCworst_T_cworst_CCworst_hold_static.log</t>
  </si>
  <si>
    <t>${CHECKLIST_ROOT}\IP_project_folder\logs\2.0\func_func_ssgnp_0p675v_125c_cworst_CCworst_T_cworst_CCworst_hold_static.log</t>
  </si>
  <si>
    <r>
      <rPr>
        <b/>
        <sz val="10"/>
        <color rgb="FF3F3F76"/>
        <rFont val="Calibri"/>
        <scheme val="minor"/>
      </rPr>
      <t xml:space="preserve">Method:
</t>
    </r>
    <r>
      <rPr>
        <sz val="10"/>
        <color rgb="FF3F3F76"/>
        <rFont val="Calibri"/>
        <scheme val="minor"/>
      </rPr>
      <t xml:space="preserve">1. Search EM irxc rule deck path in voltus run log (if EM irxc ruledeck path exists, Type1/4 PASS)
</t>
    </r>
  </si>
  <si>
    <t>/projects/TC73_DDR5_12800_N5P/work/cdn_hs_phy_top/zhongyus/signoff/signoff-1202/logs/do_qrcrcbest_CCbest_125c.log</t>
  </si>
  <si>
    <t>${CHECKLIST_ROOT}\IP_project_folder\logs\2.0\do_qrcrcbest_CCbest_125c.log</t>
  </si>
  <si>
    <r>
      <rPr>
        <b/>
        <sz val="10"/>
        <color rgb="FF3F3F76"/>
        <rFont val="Calibri"/>
        <scheme val="minor"/>
      </rPr>
      <t xml:space="preserve">Method:
</t>
    </r>
    <r>
      <rPr>
        <sz val="10"/>
        <color rgb="FF3F3F76"/>
        <rFont val="Calibri"/>
        <scheme val="minor"/>
      </rPr>
      <t xml:space="preserve">1. Search QRC techfile name in quantus QRC run log (if QRC tech file name exists, Type1/4 PASS)
</t>
    </r>
  </si>
  <si>
    <t>In Progress</t>
  </si>
  <si>
    <r>
      <rPr>
        <sz val="10"/>
        <color rgb="FF3F3F76"/>
        <rFont val="Calibri"/>
        <scheme val="minor"/>
      </rPr>
      <t xml:space="preserve">/projects/GTC9_N5_GDDR7/work/gddr36_ew_cdn_ghs_phy_top/baoguang/eco/eco-Feb10ecoa/dbs/gddr36_ew_cdn_ghs_phy_top.innovusECOfeb13fixamsrv.enc.dat
</t>
    </r>
    <r>
      <rPr>
        <b/>
        <sz val="12"/>
        <color rgb="FFFF0000"/>
        <rFont val="Calibri"/>
        <scheme val="minor"/>
      </rPr>
      <t>Auto Report Gen:  ${CHECKLIST_ROOT}\Data_interface\8.0\AutoChecker_IMP_08_Innovus_check</t>
    </r>
  </si>
  <si>
    <t>${CHECKLIST_ROOT}\IP_project_folder\reports\8.0\check_power_switch_connection.rpt
${CHECKLIST_ROOT}\IP_project_folder\logs\8.0\do_fv.log</t>
  </si>
  <si>
    <r>
      <rPr>
        <b/>
        <sz val="10"/>
        <color rgb="FF3F3F76"/>
        <rFont val="Calibri"/>
        <scheme val="minor"/>
      </rPr>
      <t xml:space="preserve">Input File:
</t>
    </r>
    <r>
      <rPr>
        <sz val="10"/>
        <color rgb="FF3F3F76"/>
        <rFont val="Calibri"/>
        <scheme val="minor"/>
      </rPr>
      <t xml:space="preserve">1. conformal fv run log
2. power switch cell input connection verify report by </t>
    </r>
    <r>
      <rPr>
        <sz val="10"/>
        <color rgb="FFFF0000"/>
        <rFont val="Calibri"/>
        <scheme val="minor"/>
      </rPr>
      <t xml:space="preserve">${CHECKLIST_ROOT}\Data_interface\8.0\report_power_switch_connection.tcl
</t>
    </r>
    <r>
      <rPr>
        <b/>
        <sz val="10"/>
        <color rgb="FF3F3F76"/>
        <rFont val="Calibri"/>
        <scheme val="minor"/>
      </rPr>
      <t xml:space="preserve">
Method:
</t>
    </r>
    <r>
      <rPr>
        <sz val="10"/>
        <color rgb="FF3F3F76"/>
        <rFont val="Calibri"/>
        <scheme val="minor"/>
      </rPr>
      <t>1. Check LEC log, 
     if show "SUCCEEDED!", indicating LEC pass, there is no connection issue.
2. Check verify_connectivity report
     if show “Found no problems or warnings”, indicating no connection issue.
3. Only if 1 &amp;&amp; 2 existance check pass, Type 1/4 PASS.
4. If FAIL, output "Please check LEC result and verify_connectivity report"</t>
    </r>
  </si>
  <si>
    <t>${CHECKLIST_ROOT}\IP_project_folder\reports\8.0\switch_power_layer.rpt
${CHECKLIST_ROOT}\IP_project_folder\dbs\8.0\gddr36_ew_cdn_ghs_phy_top.OUTwoD.lef</t>
  </si>
  <si>
    <r>
      <rPr>
        <b/>
        <sz val="10"/>
        <color rgb="FF3F3F76"/>
        <rFont val="Calibri"/>
        <scheme val="minor"/>
      </rPr>
      <t xml:space="preserve">Pattern_item: 
</t>
    </r>
    <r>
      <rPr>
        <sz val="10"/>
        <color rgb="FF3F3F76"/>
        <rFont val="Calibri"/>
        <scheme val="minor"/>
      </rPr>
      <t xml:space="preserve">Specify Switch Power Net name. eg. VDDG (Net name is shown in switch_power_layer.rpt)
</t>
    </r>
    <r>
      <rPr>
        <b/>
        <sz val="10"/>
        <color rgb="FF3F3F76"/>
        <rFont val="Calibri"/>
        <scheme val="minor"/>
      </rPr>
      <t xml:space="preserve">
Input File:
</t>
    </r>
    <r>
      <rPr>
        <sz val="10"/>
        <color rgb="FF3F3F76"/>
        <rFont val="Calibri"/>
        <scheme val="minor"/>
      </rPr>
      <t xml:space="preserve">1. Auto Report Gen will write out LEF file from latest Innovus db. Write out command and option is extracted from latest signoff scripts.
</t>
    </r>
    <r>
      <rPr>
        <b/>
        <sz val="10"/>
        <color rgb="FF3F3F76"/>
        <rFont val="Calibri"/>
        <scheme val="minor"/>
      </rPr>
      <t xml:space="preserve">
Method:
</t>
    </r>
    <r>
      <rPr>
        <sz val="10"/>
        <color rgb="FF3F3F76"/>
        <rFont val="Calibri"/>
        <scheme val="minor"/>
      </rPr>
      <t xml:space="preserve">1. Search Switch Power Net Name in LEF file.
1. Type 1/4: 
If Switch Power shown in LEF - FAIL.
if Switch Power not shown in LEF -- PASS.
4. Type 2/3: 
if current hier is TOP level, then search Switch Power Net Name in LEF.
If current hier is not TOP level, then FORCE to PASS.
</t>
    </r>
    <r>
      <rPr>
        <b/>
        <sz val="10"/>
        <color rgb="FF3F3F76"/>
        <rFont val="Calibri"/>
        <scheme val="minor"/>
      </rPr>
      <t>Waiver case:</t>
    </r>
    <r>
      <rPr>
        <sz val="10"/>
        <color rgb="FF3F3F76"/>
        <rFont val="Calibri"/>
        <scheme val="minor"/>
      </rPr>
      <t xml:space="preserve"> If write out TOP level power switch pin into LEF is acceptable, give waiver item with TOP hier name.</t>
    </r>
  </si>
  <si>
    <t>${CHECKLIST_ROOT}\IP_project_folder\reports\8.0\check_multiflop_sync_reg_celltype.rpt</t>
  </si>
  <si>
    <r>
      <rPr>
        <b/>
        <sz val="10"/>
        <color rgb="FF3F3F76"/>
        <rFont val="Calibri"/>
        <scheme val="minor"/>
      </rPr>
      <t>Pattern_item</t>
    </r>
    <r>
      <rPr>
        <sz val="10"/>
        <color rgb="FF3F3F76"/>
        <rFont val="Calibri"/>
        <scheme val="minor"/>
      </rPr>
      <t xml:space="preserve">: Specify Golden sync reg cell type from FE/FEI team. 
</t>
    </r>
    <r>
      <rPr>
        <b/>
        <sz val="10"/>
        <color rgb="FF3F3F76"/>
        <rFont val="Calibri"/>
        <scheme val="minor"/>
      </rPr>
      <t>Method</t>
    </r>
    <r>
      <rPr>
        <sz val="10"/>
        <color rgb="FF3F3F76"/>
        <rFont val="Calibri"/>
        <scheme val="minor"/>
      </rPr>
      <t>:
1. Extract actual used sync reg cell type in report file.
2. Compare to golden cell type value.
3. Type 1/4: 
If actual used cell type extracted normally - PASS
4. Type 2/3:
If actual used cell types are same with golden value - PASS
If actual used cell type has non-golden value - FAIL</t>
    </r>
  </si>
  <si>
    <t>${CHECKLIST_ROOT}\IP_project_folder\reports\8.0\check_multiflop_sync_reg.rpt</t>
  </si>
  <si>
    <r>
      <rPr>
        <b/>
        <sz val="10"/>
        <color rgb="FF3F3F76"/>
        <rFont val="Calibri"/>
        <scheme val="minor"/>
      </rPr>
      <t>Pattern_item</t>
    </r>
    <r>
      <rPr>
        <sz val="10"/>
        <color rgb="FF3F3F76"/>
        <rFont val="Calibri"/>
        <scheme val="minor"/>
      </rPr>
      <t xml:space="preserve">: Specify Maximum Distance b/t stage of multiflop sync regs.
</t>
    </r>
    <r>
      <rPr>
        <b/>
        <sz val="10"/>
        <color rgb="FF3F3F76"/>
        <rFont val="Calibri"/>
        <scheme val="minor"/>
      </rPr>
      <t xml:space="preserve">Method:
</t>
    </r>
    <r>
      <rPr>
        <sz val="10"/>
        <color rgb="FF3F3F76"/>
        <rFont val="Calibri"/>
        <scheme val="minor"/>
      </rPr>
      <t>1. Search distance value greater than requirement value. Save into missing item.
2. Type 1/4: 
If no value greater than requirement - PASS
If there is distance value greater than requirement - FAIL
4. Type 2/3:
same as Type 1/4</t>
    </r>
  </si>
  <si>
    <r>
      <rPr>
        <sz val="10"/>
        <color rgb="FF3F3F76"/>
        <rFont val="Calibri"/>
        <scheme val="minor"/>
      </rPr>
      <t xml:space="preserve">/projects/TC73_DDR5_12800_N5P/work/cdn_hs_phy_top/zhongyus/eco/ecoDBS/cdn_hs_phy_top.eco1202.enc.dat
</t>
    </r>
    <r>
      <rPr>
        <b/>
        <sz val="12"/>
        <color rgb="FFFF0000"/>
        <rFont val="Calibri"/>
        <scheme val="minor"/>
      </rPr>
      <t>Auto Report Gen:  ${CHECKLIST_ROOT}\Data_interface\8.0\AutoChecker_IMP_08_Innovus_check</t>
    </r>
  </si>
  <si>
    <t>${CHECKLIST_ROOT}\IP_project_folder\reports\8.0\check_cell_type4input_ports.rptcheck_cell_type4input_ports.rpt</t>
  </si>
  <si>
    <r>
      <rPr>
        <b/>
        <sz val="10"/>
        <color rgb="FF3F3F76"/>
        <rFont val="Calibri"/>
        <scheme val="minor"/>
      </rPr>
      <t>Pattern_item</t>
    </r>
    <r>
      <rPr>
        <sz val="10"/>
        <color rgb="FF3F3F76"/>
        <rFont val="Calibri"/>
        <scheme val="minor"/>
      </rPr>
      <t xml:space="preserve">:Specify all acceptable diode cell type.
</t>
    </r>
    <r>
      <rPr>
        <b/>
        <sz val="10"/>
        <color rgb="FF3F3F76"/>
        <rFont val="Calibri"/>
        <scheme val="minor"/>
      </rPr>
      <t>Method</t>
    </r>
    <r>
      <rPr>
        <sz val="10"/>
        <color rgb="FF3F3F76"/>
        <rFont val="Calibri"/>
        <scheme val="minor"/>
      </rPr>
      <t>:
1. Search input ports connected cell type and compare to pattern items.
2. Type 1/4: 
If pattern item cell type cannot find in report - PASS
If pattern item cell type found in report - FAIL
4. Type 2/3:
same as Type 1/4</t>
    </r>
  </si>
  <si>
    <t>/projects/TC73_DDR5_12800_N5P/work/cdn_hs_phy_top/zhongyus/signoff/signoff-1202/pvs_run/BUMPDRCwD/pegasus-1765020757-nfdpcsr014-872572/pvl.log</t>
  </si>
  <si>
    <t>${CHECKLIST_ROOT}\IP_project_folder\logs\2.0\BUMP_pvl.log</t>
  </si>
  <si>
    <r>
      <rPr>
        <b/>
        <sz val="10"/>
        <color rgb="FF3F3F76"/>
        <rFont val="Calibri"/>
        <scheme val="minor"/>
      </rPr>
      <t xml:space="preserve">Pattern Item:
</t>
    </r>
    <r>
      <rPr>
        <sz val="10"/>
        <color rgb="FF3F3F76"/>
        <rFont val="Calibri"/>
        <scheme val="minor"/>
      </rPr>
      <t xml:space="preserve">Proj Lead specify golden rule deck setting.
</t>
    </r>
    <r>
      <rPr>
        <b/>
        <sz val="10"/>
        <color rgb="FF3F3F76"/>
        <rFont val="Calibri"/>
        <scheme val="minor"/>
      </rPr>
      <t xml:space="preserve">Method:
</t>
    </r>
    <r>
      <rPr>
        <sz val="10"/>
        <color rgb="FF3F3F76"/>
        <rFont val="Calibri"/>
        <scheme val="minor"/>
      </rPr>
      <t>1. Extract all rule deck setting from input file (local BUMP DRC rule deck)
2. Extract all rule deck setting from golden file
3. Compare rule deck setting and generate diff result file.
4. Type 1/4: If local rule deck exists, then PASS.
5. Type 2/3: If file is empty -- PASS ; if file is not empty -- FAIL</t>
    </r>
  </si>
  <si>
    <t>Not Started</t>
  </si>
  <si>
    <t>Jing Li</t>
  </si>
  <si>
    <t>print "Make sure take care the PERC concern during  the VDDQ and VDDQ_CK bump assignment and PG integration for LPDDR5 as VDDQ and VDDQ_CK are core voltage and the P2P resistance requirement is 0.1ohm which is tight. " to report as information
no input_files, print description as information to report
mark check pass</t>
  </si>
  <si>
    <t>https://cadence.sharepoint.com/:b:/r/sites/DDRHardIP/DDR%20IP%20Application%20Notes/cdn_ddr_phy_physical_img_gen2phy_gen2io_v2.5.pdf?csf=1&amp;web=1&amp;e=wJ3fuj</t>
  </si>
  <si>
    <t>print "Confirm follow the "Gen* I/O VREF and ESD Insertion Rule" in implementation guide AND DDRIO datasheet for IO planning. Please sent the IO order to AMS team to review if you are not that sure." to report as information
print "all input_files" to report as information, 
mark check pass</t>
  </si>
  <si>
    <t>/projects/CAG6_N7_32bits_6400_phy/work/cdn_hs_phy_top/ksun/eco/eco-0803/dbs/cdn_hs_phy_top.enc.dat</t>
  </si>
  <si>
    <t xml:space="preserve">input fie format is name centerx centery sizex sizey
step1: *phy_top*, if phy_centerx &gt; phy_centery, phy_orient is NS, else phy_orient is EW
step2: for each "data_slice", if phy_orient is NS, go through all *phy_pll* and print "$ds_name notch have $pll_name" if abs(ds_centerx - pll_centerx) - ds_sizex*1/2- pll_sizex*1/2 &lt; 100, check PASS, else check FAIL.
if phy_orient is EW, go through all *phy_pll* and "$ds_name notch have $pll_name" if abs(ds_centery - pll_centery) -ds_sizey*1/2 - pll_sizey*1/2 &lt; 100,check PASS, else check FAIL.
</t>
  </si>
  <si>
    <t>Chudong Yu</t>
  </si>
  <si>
    <t>/projects/Rivian_N5A_32bits_8533_phy/work/cdns_lp5x_x32_ew_phy_top/chudongy/signoff/signoff-0317/dbs/cdns_lp5x_x32_ew_phy_top.innovusOUTwoD0.enc.dat/</t>
  </si>
  <si>
    <t>/projects/Rivian_N5A_32bits_8533_phy/work/cdns_lp5x_x32_ew_phy_top/chudongy/signoff/signoff-0317/dbs/cdns_lp5x_x32_ew_phy_top.OUTwoD.lef</t>
  </si>
  <si>
    <t>/projects/GTC12_N3P_GDDR7/work/gddr36_ew_cdn_ghs_phy_top/lijing/eco/eco-1025/dbs/gddr36_ew_cdn_ghs_phy_top.innovusECO1.enc.dat</t>
  </si>
  <si>
    <t xml:space="preserve"> - ${CHECKLIST_ROOT}/IP_project_folder/dbs/gddr36_ew_cdn_ghs_phy_top.pg.v.gz</t>
  </si>
  <si>
    <t xml:space="preserve">
If input netlist have data_retention* ports, trace it's connection until inst_cmn/inst_cmn_bitslice/DR_MODE*
print all stages and their V* pins net name</t>
  </si>
  <si>
    <t>/projects/Giglio_N7_80bits_5600_phy/work/cadence_phy_cdn_hs_phy_top/lijing/eco/dbs/cadence_phy_cdn_hs_phy_top.innovus0707.enc.dat
/projects/Nextsilicon_N5_80bits_5600_phy/work/cadence_phy_cdn_hs_phy_top/joycehu/eco/eco-1108PM3/dbs/cadence_phy_cdn_hs_phy_top.innovusECO0.enc.dat</t>
  </si>
  <si>
    <t xml:space="preserve">input fie format is name centerx centery sizex sizey
step1: *phy_top*, if phy_centerx &gt; phy_centery, phy_orient is NS, else phy_orient is EW
step2: for each data_slice when phy_orient is NS or EW:
 give strategy to check DS {0,1,2,3,8} ,   DS {4,5,6,7,9} are grouped
 DS8 and DS9 are placed close to CA, CA means cdn_hs_phy_asic_pads/addr_*pad_*, DS8 and DS8-ECC are same instances, DS9 and DS9-ECC are same instances
</t>
  </si>
  <si>
    <t>David Li</t>
  </si>
  <si>
    <t>/projects/TC70_LPDDR6_N5P/work/tv_chip/zhaozhao/eco/eco-1211b/dbs/tv_chip.innovusECO1212b.enc.dat
/process/tsmcN5/data/stdcell/n5/CDNS/cdns_ddr_custom_decap_unit_cells_t5g_1X1Xb1Xe1Ya1Yb5Y_r100.20251019/doc/guideline_document.txt</t>
  </si>
  <si>
    <t xml:space="preserve">  - ${CHECKLIST_ROOT}/IP_project_folder/logs/MIG-IMP-8-1-1-24
  - ${CHECKLIST_ROOT}/IP_project_folder/logs/guideline_document.txt</t>
  </si>
  <si>
    <t xml:space="preserve">in tv_chip use /projects/TC70_LPDDR6_N5P/work/tv_chip/lijing/eco/scripts/Agent-AI/MIG-IMP-8-1-1-24.tcl(may need update accordinlgy) to report power_domain/decap_unit type/decap_unit number 
extract cdns_ddr_custom_decap_*'s ""DC Cap Value (pF)"" from guideline_document.txt to report as column4, add column5 ""Total Decap (pF)"" as column3*column4 for each cdns_ddr_custom_decap_*, and print all results to report. 
only check VDD*PLL*
print all results to reports, do not comapre with 100pF.
</t>
  </si>
  <si>
    <t>/process/tsmcN5/data/stdcell/n5/TSMC/MISC_n5/docs/an_n05n04_1p2v_gpio_applicationnote_v1d3.pdf
/process/tsmcN5/data/stdcell/n5gp/CDNS/PLLTS5FFPLAFRACN_2023_02_01_v1p3p0p2p6_BE/doc//Digital_Integration_Appnote.pdf</t>
  </si>
  <si>
    <t>print "Confirm follow the datasheet and implementation guide of IP blocks(DDRIO/PLL/Noisegen/GPIO etc)" to report as information
no checks for input files, just print file name in report
print "all input_files" to report as information, 
mark check pass</t>
  </si>
  <si>
    <t>/projects/Murano_N4P_80bits_6400_phy/work/cadence_phy_cdn_hs_phy_top/lijing/signoff/signoff-0901/dbs/func_func_ffgnp_0p825v_125c_cbest_CCbest_T_cworst_CCworst_hold_write_diemodel/func_func_ffgnp_0p825v_125c_cbest_CCbest_T_cworst_CCworst_hold_write_diemodel_PD_distributed/rcfile.txt</t>
  </si>
  <si>
    <t xml:space="preserve"> - ${CHECKLIST_ROOT}/IP_project_folder/logs/*rcfile.txt</t>
  </si>
  <si>
    <t>grep powernet with pattern "# Net:(VDD*), Net:VSS",  grep cdie with pattern "1.0000000e+08\s+(S+) m\s+(\S+) n"
just print the value from input_files, dont do any extra action
print powernet and cdie to report for user double check</t>
  </si>
  <si>
    <t>/projects/TC61_SF5A_6400/work/tv_chip/mjing/eco/eco-0430PG/dbs/tv_chip.ECO0.enc.dat</t>
  </si>
  <si>
    <t xml:space="preserve">  - ${CHECKLIST_ROOT}/IP_project_folder/logs/MIG-IMP-8-1-1-29</t>
  </si>
  <si>
    <t>in tv_chip use /projects/TC70_LPDDR6_N5P/work/tv_chip/lijing/eco/scripts/Agent-AI/MIG-IMP-8-1-1-29.tcl(may need update accordinlgy)  to report process_monitor donttouch and location within 5um
get all pmtypelist from "tv_pm/test_process_monitor_1/pmo_(\S+)/", for each pmtype:
1. all GEN_OSC_(\S+)__buf_i have same cell type
2. for adjacent GEN_OSC_*__buf_i, value in ($x,$y)should be within 5.
3. only tv_pm/test_process_monitor_1/pmo_*/GEN_OSC_*__buf_i/genblk1_buffer_cmn exist between line tv_pm/test_process_monitor_1/pmo_*/clk_and and tv_pm/test_process_monitor_1/pmo_*/cmn_inv/genblk1_buffer_inv, no other instname.
4. do not print info for all instance "All expected process monitors found with correct implementation", please give summary info for each pm type
5. skip lines with #
mark check PASS if all 3 types meet requirement, otherwise mark check FAIL.</t>
  </si>
  <si>
    <t xml:space="preserve">  - ${CHECKLIST_ROOT}/IP_project_folder/logs/MIG-IMP-8-1-1-30
  - ${CHECKLIST_ROOT}/IP_project_folder/logs/guideline_document.txt</t>
  </si>
  <si>
    <t>in tv_chip use /projects/TC70_LPDDR6_N5P/work/tv_chip/lijing/eco/scripts/Agent-AI/MIG-IMP-8-1-1-30.tcl(may need update accordinlgy) to report power_domain/decap_unit type/decap_unit number 
extract cdns_ddr_custom_decap_*'s "DC Cap Value (pF)" from guideline_document.txt to report as column4, add column5 "Total Decap (pF)" as column3*column4 for each cdns_ddr_custom_decap_*, and print all results to report. 
skip check VDD*PLL*.
print all results to reports</t>
  </si>
  <si>
    <r>
      <rPr>
        <b/>
        <sz val="10"/>
        <color rgb="FF000000"/>
        <rFont val="Calibri"/>
        <scheme val="minor"/>
      </rPr>
      <t xml:space="preserve">[BRCM special]
</t>
    </r>
    <r>
      <rPr>
        <sz val="10"/>
        <color rgb="FF000000"/>
        <rFont val="Calibri"/>
        <scheme val="minor"/>
      </rPr>
      <t>Confirm use pin blockage def for pin assignment for BRCM projects (for non-BRCM projects, please fill N/A)
The pin def information is in /projects/workbench/versions/BRCM/pin_blockage_def/BRCM_Pin_Placement_DEF_release_notes.pdf</t>
    </r>
  </si>
  <si>
    <r>
      <rPr>
        <b/>
        <sz val="10"/>
        <color rgb="FF000000"/>
        <rFont val="Calibri"/>
        <scheme val="minor"/>
      </rPr>
      <t xml:space="preserve">[BRCM special]
</t>
    </r>
    <r>
      <rPr>
        <sz val="10"/>
        <color rgb="FF000000"/>
        <rFont val="Calibri"/>
        <scheme val="minor"/>
      </rPr>
      <t>Confirm the BRCM don’t_use cell list is correct. Pay attention that the BRCM don’t use list is keeping change. Please check whether you follow the latest one.(The BRCM don’t use file in workbench is based on old program and you need to overwrite or update that per project.)
Latest BRCM dont_use cell list can be found in below path:
N7: /process/tsmcN7/data/stdcell/tsmc/n7gp/BRCM/MISC_n7gp/docs/dont_use.info.latest
N5: /process/tsmcN5/data/stdcell/n5/BRCM/MISC_BRCM_n5/docs/dont_use.info.latest</t>
    </r>
  </si>
  <si>
    <r>
      <rPr>
        <b/>
        <sz val="10"/>
        <color rgb="FF000000"/>
        <rFont val="Calibri"/>
        <scheme val="minor"/>
      </rPr>
      <t xml:space="preserve">[MIG-WB-Tracking]
</t>
    </r>
    <r>
      <rPr>
        <sz val="10"/>
        <color rgb="FF000000"/>
        <rFont val="Calibri"/>
        <scheme val="minor"/>
      </rPr>
      <t>Confirm the workbench flow you are using. (Current latest one: /projects/workbench/versions/workbench_v0.8)
Put the workbench flow dir in Comment and specify the reason why you don’t use the central workbench flow.
The reason maybe as belows,
           -This process is new and not covered by the central workbench flow.
           -ECO based on old programs.</t>
    </r>
  </si>
  <si>
    <t>/rscratch/ddr_pd_tw/davidli/CheckList/gen_log/WB_ROOT.log</t>
  </si>
  <si>
    <r>
      <rPr>
        <b/>
        <sz val="10"/>
        <color rgb="FF000000"/>
        <rFont val="Calibri"/>
        <scheme val="minor"/>
      </rPr>
      <t xml:space="preserve">[MIG-WB-Tracking]
</t>
    </r>
    <r>
      <rPr>
        <sz val="10"/>
        <color rgb="FF000000"/>
        <rFont val="Calibri"/>
        <scheme val="minor"/>
      </rPr>
      <t>Confirm compared the difference between the workbench you used and the central workbench flow.
You can use "diff -r $your_workbench_dir /projects/workbench/versions/workbench_v0.8 &gt; workbench_difference"
Please put the below message in Comment collumn,
          -put the workbench_difference file location
          -Reason for the difference if has the difference
          -Suggestion for central workbench flow</t>
    </r>
  </si>
  <si>
    <t>/rscratch/ddr_pd_tw/davidli/CheckList/gen_log/workbench_difference</t>
  </si>
  <si>
    <t xml:space="preserve">/projects/byd_A3_N4P_32bits_LPDDR5_phy/work/cdns_lp5x_x32_ew_phy_ds_top/muhanx/signoff/signoff-1217-nuflow/logs/do_qrcrcworst_CCworst_T_125c.log
/projects/byd_A3_N4P_32bits_LPDDR5_phy/work/cdns_lp5x_x32_ew_phy_ds_top/muhanx/signoff/signoff-nodummy/logs/do_qrccbest_CCbest_125c.log
</t>
  </si>
  <si>
    <t>C:\Users\muhanx\dev_workspace\CHECKLIST\CHECKLIST\IP_project_folder\logs\9.0\do_qrccbest_CCbest_125c.log
C:\Users\muhanx\dev_workspace\CHECKLIST\CHECKLIST\IP_project_folder\logs\9.0\do_qrccbest_CCbest_m40c.log
C:\Users\muhanx\dev_workspace\CHECKLIST\CHECKLIST\IP_project_folder\logs\9.0\do_qrccworst_CCworst_m40c.log
C:\Users\muhanx\dev_workspace\CHECKLIST\CHECKLIST\IP_project_folder\logs\9.0\do_qrcrcworst_CCworst_T_125c.log</t>
  </si>
  <si>
    <t xml:space="preserve">1. Ensure that “input_db -type metal_fill -gds_file *BEOL.gds” exists in logs/do_qrc*.log
2. Confirm not "does NOT contain MetalFill data" in logs/do_qrc*.log </t>
  </si>
  <si>
    <t>Muhan Xing</t>
  </si>
  <si>
    <r>
      <rPr>
        <b/>
        <sz val="11"/>
        <color theme="1"/>
        <rFont val="Calibri"/>
        <family val="2"/>
        <scheme val="minor"/>
      </rPr>
      <t xml:space="preserve">    [2026-1-28] detailed info missing: Source file  incompleted</t>
    </r>
    <r>
      <rPr>
        <sz val="11"/>
        <color theme="1"/>
        <rFont val="Calibri"/>
        <family val="2"/>
        <scheme val="minor"/>
      </rPr>
      <t xml:space="preserve">
failures: 
      - index: 1
        detail: 'do_qrccbest_CCbest_m40c.log: Metal fill configuration missing or incomplete'
        source_line: N/A
        source_file: N/A
        reason: Metal fill GDS configuration not found or contains critical errors (missing MetalFill data) in one or more corners</t>
    </r>
  </si>
  <si>
    <t>/projects/TC70_LPDDR6_N5P/work/tv_chip/zhaozhao/signoff/signoff-1211b/logs/EM_ND1_func_ffgnp_0p825v_m40c_cbest_CCbest_T_rcbest_CCbest_hold.log
/projects/TC70_LPDDR6_N5P/work/tv_chip/zhaozhao/signoff/signoff-1211b/logs/ND1_func_ffgnp_0p825v_125c_cbest_CCbest_T_cworst_CCworst_hold_dynamic.log
/projects/TC70_LPDDR6_N5P/work/tv_chip/zhaozhao/signoff/signoff-1211b/logs/ND1_func_ffgnp_0p825v_125c_cbest_CCbest_T_cworst_CCworst_hold_static.log</t>
  </si>
  <si>
    <t xml:space="preserve">  - ${CHECKLIST_ROOT}/IP_project_folder/logs/*static*.log
  - ${CHECKLIST_ROOT}/IP_project_folder/logs/*dynamic*.log
  - ${CHECKLIST_ROOT}/IP_project_folder/logs/*EM*.log</t>
  </si>
  <si>
    <t>go through logs, for below 7 checks, mark check FAIL if logs have ERRORs not in waiver_lists, else mark check PASS.
- between "&lt;CMD&gt; read_lib -lef " and "&lt;CMD&gt;"
- between "&lt;CMD&gt; read_view_definition " and "&lt;CMD&gt;"
- between  "&lt;CMD&gt; merge_hierarchical_def " and "&lt;CMD&gt;"
- between "&lt;CMD&gt; read_verilog " and "&lt;CMD&gt;"
- between "&lt;CMD&gt; read_def " and "&lt;CMD&gt;"
- between "SPEF files for RC Corner " and "&lt;CMD&gt;"
- between "Begin Processing Cell Libraries for Rail Analysis" and "Ended Processing Cell Libraries for Rail Analysis"</t>
  </si>
  <si>
    <r>
      <t>[2026-1-28]</t>
    </r>
    <r>
      <rPr>
        <b/>
        <sz val="11"/>
        <color theme="1"/>
        <rFont val="Calibri"/>
        <family val="2"/>
        <scheme val="minor"/>
      </rPr>
      <t xml:space="preserve"> detailed info missing: Source file &amp; line need to be added</t>
    </r>
    <r>
      <rPr>
        <sz val="11"/>
        <color theme="1"/>
        <rFont val="Calibri"/>
        <family val="2"/>
        <scheme val="minor"/>
      </rPr>
      <t xml:space="preserve">
Info: Cell Libraries for Rail Analysis: Cell libraries for rail analysis processed successfully
3: Info: LEF Loading: LEF loading completed successfully
4: Info: SPEF Loading: SPEF files loaded for RC corner 'rcbest_CCbest_m40c' (30 file(s))
5: Info: Verilog Netlist: Verilog netlist loading completed successfully
6: Info: View Definition: View definition loaded successfully</t>
    </r>
  </si>
  <si>
    <t>/projects/TC70_LPDDR6_N5P/work/tv_chip/zhaozhao/signoff/signoff-1211b/pvs_run/LVSwD/lvs.rep.cls</t>
  </si>
  <si>
    <t xml:space="preserve">  - ${CHECKLIST_ROOT}/IP_project_folder/reports/lvs.rep.cls</t>
  </si>
  <si>
    <r>
      <rPr>
        <sz val="10"/>
        <color rgb="FFFF0000"/>
        <rFont val="Calibri"/>
        <scheme val="minor"/>
      </rPr>
      <t xml:space="preserve">How to check? Check LVS pass
</t>
    </r>
    <r>
      <rPr>
        <sz val="10"/>
        <color rgb="FF16365C"/>
        <rFont val="Calibri"/>
        <scheme val="minor"/>
      </rPr>
      <t>- for lvs.rep.cls: grep "Run Result.*  MATCH" from lvs.rep.cls, only check "Overall run result ", mark check PASS if have pattern,  else mark check FAIL.</t>
    </r>
  </si>
  <si>
    <t>/process/tsmcN5/data/g/DRM/VER_1.3_1_R/TN05CLDR014_1_3_1_R.pdf</t>
  </si>
  <si>
    <r>
      <rPr>
        <sz val="10"/>
        <color rgb="FFFF0000"/>
        <rFont val="Calibri"/>
        <scheme val="minor"/>
      </rPr>
      <t xml:space="preserve">need delvelop extra script to extract EMIR signoff criteria from addendum or design rule or IP specific spec.
</t>
    </r>
    <r>
      <rPr>
        <sz val="10"/>
        <color rgb="FF3F3F76"/>
        <rFont val="Calibri"/>
        <scheme val="minor"/>
      </rPr>
      <t>current will print out IP specific spec</t>
    </r>
  </si>
  <si>
    <t xml:space="preserve">- grep "'read_activity_file' finished successfully" from log, if have pattern, mark check PASS. print "'read_activity_file' finished successfully" to report for each input file.
- grep "'set_default_switching_activity' finished successfully" from log, if have pattern, mark check PASS. print "set_default_switching_activity -input_activity (\S+)" to report for each input file.
- elseif no above activity setting, mark check FAIL.
</t>
  </si>
  <si>
    <t xml:space="preserve">- If have line with pattern "read_view_definition *scr/(\S+)_viewdefinition.tcl", set it to paview, PVT pattern is "_(\S+)_(\Sv)_(\S+c)_" come from same line. If have line with pattern "SPEF files for RC Corner (S+)", set it to signalrc.  If have line with pattern "extraction_tech_file (S+)", set it to pgrc, else set pgrc is NA and print "Please confirm qrctechfile file in techonly.cl". 
- print format: "PA view: {paview}, Signal RC: {signalrc}, PowerGround RC: {pgrc}, PVT is: Process corner, voltage, temperature." for each file
</t>
  </si>
  <si>
    <t>/projects/TC70_LPDDR6_N5P/libs/libGen/lijing/sram/libgen-sram/logs/ffgnp_0p77v_125c_cbest_CCbest_T.LibGen.log
/projects/TC70_LPDDR6_N5P/libs/libGen/lijing/gpio/libgen-gpio/logs/ffgnp_0p825v_125c_cbest_CCbest_T.LibGen.log
/projects/TC70_LPDDR6_N5P/libs/libGen/lijing/tech/libgen-tech/logs/ffgnp_0p825v_125c_cbest_CCbest_T.LibGen.log
/projects/TC70_LPDDR6_N5P/libs/libGen/lijing/std_lvl/libgen-lvl-1208/logs/ssgnp_0p765v_125c_cworst_CCworst_T.LibGen.log</t>
  </si>
  <si>
    <t xml:space="preserve">  - ${CHECKLIST_ROOT}/IP_project_folder/logs/*LibGen.log</t>
  </si>
  <si>
    <t>grep "set_pg_library_mode -celltype (\S+)" from input file. If celltype is techonly|stdcells, skip the file and continue, elseif celltype is macros, if file have "set_pg_library_mode .*-gds_files {}",skip the file and continue, else set gdsfile to "set_pg_library_mode .*-gds_files (\S+)".
no PASS/FAIL check 
sort and and print all gdsfiles to reports for user's double check</t>
  </si>
  <si>
    <r>
      <t xml:space="preserve">[2026-1-28] </t>
    </r>
    <r>
      <rPr>
        <b/>
        <sz val="11"/>
        <color theme="1"/>
        <rFont val="Calibri"/>
        <family val="2"/>
        <scheme val="minor"/>
      </rPr>
      <t xml:space="preserve">detailed info incorrect: 
</t>
    </r>
    <r>
      <rPr>
        <sz val="11"/>
        <color theme="1"/>
        <rFont val="Calibri"/>
        <family val="2"/>
        <scheme val="minor"/>
      </rPr>
      <t>3: Info: stdcell_ffgnp_0p825v_125c_cbest_CCbest_T: No GDS files (-gds_files empty or not specified) (celltype=stdcells)
4: Info: tech_ffgnp_0p825v_125c_cbest_CCbest_T: No GDS files (-gds_files empty or not specified) (celltype=techonly)</t>
    </r>
  </si>
  <si>
    <t>grep "set_pg_library_mode -celltype (\S+)" from input file. If celltype is techonly, skip the file and continue, elseif celltype is macros|stdcells, set spicemodel to "set_pg_library_mode .*-spice_models (\S+)", set spicenetlist to "set_pg_library_mode .*-spice_subckts (\S+)".
no PASS/FAIL check 
sort and print all spicemodel and spicenetlist to report for user double check.</t>
  </si>
  <si>
    <t>/projects/TC73_DDR5_12800_N5P/work/cdn_hs_phy_top/zhongyus/signoff/signoff-1202/dbs/func_func_ffgnp_0p825v_125c_cbest_CCbest_T_cworst_CCworst_hold_static/PD_125C_avg_1/missingLibModelCell.out</t>
  </si>
  <si>
    <t>${CHECKLIST_ROOT}/IP_project_folder/reports/11.0/missingLibModelCell.out</t>
  </si>
  <si>
    <t xml:space="preserve">-grep the missing pgv view name and count from input file
-if total missing count is 0 in the input file, then check is PASS
-if total missing count is not 0, compare missing pgv cell name with waiver list
</t>
  </si>
  <si>
    <t>Zhongyu Sun</t>
  </si>
  <si>
    <t>In progress</t>
  </si>
  <si>
    <t xml:space="preserve">C:\Users\zhihan\projects\check_development\CHECKLIST\CHECKLIST\IP_project_folder\reports\11.0\VDD_VSS_div.iv
C:\Users\zhihan\projects\check_development\CHECKLIST\CHECKLIST\IP_project_folder\reports\11.0\results_VDD
C:\Users\zhihan\projects\check_development\CHECKLIST\CHECKLIST\IP_project_folder\reports\11.0\results_VSS
</t>
  </si>
  <si>
    <t>1. Grep IR and Power_EM results for all power nets.
2. Compare the results with IR and Power_EM target.</t>
  </si>
  <si>
    <t>Zhihan Zhen</t>
  </si>
  <si>
    <t>[2026-1-28] review: checker not be found</t>
  </si>
  <si>
    <t>Guishuai Huang</t>
  </si>
  <si>
    <t>/projects/TC65_LPDDR6_N3P_14400/work/cdns_lp6_x48_ew_phy_top/chudongy/eco/savelocalDBS-final/dbs/cdns_lp6_x48_ew_phy_top.enc.dat</t>
  </si>
  <si>
    <t>/projects/TC65_LPDDR6_N3P_14400/work/cdns_lp6_x48_ew_phy_top/chudongy/signoff/signoff-0303/dbs/ND2_func_tt_0p75v_85c_typical_typical_setup_powerup/PD_ALL_85C_dynamic_1/Reports/VDD/VDDG_powerup.rpt</t>
  </si>
  <si>
    <t>1. confirm all the switch are turn on
2. confirm there are wake-up time and rush current info in reports
3. Remind user confirm the wake-up time and rush current requiremet from customer</t>
  </si>
  <si>
    <r>
      <t xml:space="preserve">[2026-1-28] </t>
    </r>
    <r>
      <rPr>
        <b/>
        <sz val="11"/>
        <color theme="1"/>
        <rFont val="Calibri"/>
        <family val="2"/>
        <scheme val="minor"/>
      </rPr>
      <t xml:space="preserve">detailed info incorrect:
</t>
    </r>
    <r>
      <rPr>
        <sz val="11"/>
        <color theme="1"/>
        <rFont val="Calibri"/>
        <family val="2"/>
        <scheme val="minor"/>
      </rPr>
      <t xml:space="preserve">      - index: 6
        detail: Please confirm your wake-up time and rush current followed customer requirements
        source_line: N/A
        source_file: 'C:\Users\yuyin\Desktop\CHECKLIST_RELEASE_COLLECT\CHECKLIST\IP_project_folder\reports\11.0\Powerup.rpt'
        reason: Powerup report complete with all required metrics found</t>
    </r>
  </si>
  <si>
    <t>1. confirm there is wake-up time in report
2. catch the wake-up time value and compare with golden value</t>
  </si>
  <si>
    <t>1. confirm there is rush current in reports
2. catch the rush current value and compare with golden value</t>
  </si>
  <si>
    <t>/projects/byd_A3_N4P_32bits_LPDDR5_phy/work/cdns_lp5x_x32_ew_phy_ds_top/muhanx/signoff/signoff-0109-wb/logs/func_func_ssgnp_0p675v_125c_cworst_CCworst_T_cworst_CCworst_T_setup_static.logv
/projects/byd_A3_N4P_32bits_LPDDR5_phy/work/cdns_lp5x_x32_ew_phy_ds_top/muhanx/signoff/signoff-0109-wb/logs/func_func_ssgnp_0p675v_125c_cworst_CCworst_T_cworst_CCworst_T_setup_static.logv
/projects/byd_A3_N4P_32bits_LPDDR5_phy/work/cdns_lp5x_x32_ew_phy_ds_top/muhanx/signoff/signoff-0109-wb/logs/func_func_tt_0p75v_85c_typical_typical_setup_dynamic.logv</t>
  </si>
  <si>
    <t>C:\Users\muhanx\dev_workspace\CHECKLIST\CHECKLIST\IP_project_folder\logs\11.0\func_func_ffgnp_0p825v_125c_cbest_CCbest_T_cworst_CCworst_hold_static.logv
C:\Users\muhanx\dev_workspace\CHECKLIST\CHECKLIST\IP_project_folder\logs\11.0\func_func_ssgnp_0p675v_125c_cworst_CCworst_T_cworst_CCworst_T_setup_static.logv
C:\Users\muhanx\dev_workspace\CHECKLIST\CHECKLIST\IP_project_folder\logs\11.0\func_func_tt_0p75v_85c_typical_typical_setup_dynamic.logv
C:\Users\muhanx\dev_workspace\CHECKLIST\CHECKLIST\IP_project_folder\logs\11.0\noerror.logv</t>
  </si>
  <si>
    <t>1. Ensure that there is no "ERROR" in the provided log or logv.
2. In the waiver, the ID of the waived ERROR can be listed, such as "IMPLF-388".
3. If there is "ERROR" in the log/logv, print the complete ERROR information and the corresponding line number in the output.</t>
  </si>
  <si>
    <t xml:space="preserve">1. Ensure that all WARNs in the provided log or logv are included in the waiver list.
2. In the waiver, the ID of the waived WARN can be listed, such as ""IMPLF-378"".
3. If there are WARNs in the log or logv that have not been waived, print the complete WARN information along with the corresponding line number in the output."
</t>
  </si>
  <si>
    <t>/projects/byd_A3_N4P_32bits_LPDDR5_phy/work/cdns_lp5x_x32_ew_phy_ds_top/muhanx/signoff/signoff-0917-r8/rpts/vtratio.sum</t>
  </si>
  <si>
    <t>C:\Users\muhanx\dev_workspace\CHECKLIST\CHECKLIST\IP_project_folder\logs\11.0\vtratio.sum</t>
  </si>
  <si>
    <t>1. Based on the input vtratio.sum file, extract the proportion of each type of VT and output it in the following format, with the digit before the percentage sign retained to two decimal places: TSMCN7/N6:SVT(50%)/LVT(40%)/ULVT(10%) TSMCN5/N4/N3/N2:SVT(50%)/LVTLL(20%)/LVT(20%)/ULVTLL(5%)/ULVT(5%)/ELVT(0%) SEC:RVT(50%)/LVT(40%)/SLVT(10%) INTl_I3/18A:ad(HVT 30%)/ac(SVT 20%)/ab(LVT 30%)/aa(ULVT 20%)
2. For example, if the input file shows "Core logic CNODSVT ratio is: 46.0147161781%  total number is: 99245", then the output would be SVT (46.01%).</t>
  </si>
  <si>
    <t>Status
(Completed/In progress/Not Started)</t>
  </si>
  <si>
    <t>2/2/026</t>
  </si>
  <si>
    <t>C:\Users\zhihan\projects\check_development\CHECKLIST\CHECKLIST\IP_project_folder\reports\11.1\cdns_lp6_x48_ew_phy_top.voltus.MLrcworst_CCworst_STD_cbest_CCbest_T.log</t>
  </si>
  <si>
    <t>1. Grep all WARN in log and print into log/rpt.
2. All WARN need to be reviewed and provide waivers.</t>
  </si>
  <si>
    <t>1. Grep all ERROR in log and print into log/rpt.
2. All ERROR need to be reviewed and provide waivers.</t>
  </si>
  <si>
    <t>C:\Users\zhihan\projects\check_development\CHECKLIST\CHECKLIST\IP_project_folder\reports\11.1\TC70_LPDDR6_N5P__20251119_DF_DDRPHY_LPDDR6_48bits_12800Mbps_ND_RTL_v0p8_VCD_DDR_PHY_IP_Performance_Analysis_V1p2.xlsx</t>
  </si>
  <si>
    <t>1. If power evaluation results .xls exists, this check will be considered to be pass. Because this results .xls is used for review.</t>
  </si>
  <si>
    <t>need delvelop extra script to generate proper report</t>
  </si>
  <si>
    <t>Jingyu Wang</t>
  </si>
  <si>
    <t xml:space="preserve">/projects/Murano_N4P_80bits_6400_phy/work/CDN_104V_cdn_hs_phy_data_slice_NS/chudongy/signoff/signoff-0822/cmd_run/3StarDRC/3stars_DRC_AMD_TN04CLDR017C1_1_0B/sourceme
/projects/TC73_DDR5_12800_N5P/work/tv_chip/baoguang/signoff/signoff-1204u/pvs_run/DRCwD/pegasus-1765083149-nfdpc201-248564/pvl.log                                   
</t>
  </si>
  <si>
    <t>${CHECKLIST_ROOT}/IP_project_folder/logs/do_pvs_DRC_pvl.log
${CHECKLIST_ROOT}/IP_project_folder/logs/do_cmd_3star_DRC_sourceme</t>
  </si>
  <si>
    <r>
      <rPr>
        <b/>
        <sz val="11"/>
        <color theme="1"/>
        <rFont val="Calibri"/>
        <family val="2"/>
        <scheme val="minor"/>
      </rPr>
      <t>[2026-1-28] detailed info unclear:</t>
    </r>
    <r>
      <rPr>
        <sz val="11"/>
        <color theme="1"/>
        <rFont val="Calibri"/>
        <family val="2"/>
        <scheme val="minor"/>
      </rPr>
      <t xml:space="preserve">
2: Fail: CellsForRRuleAnalog: Switch/variable setting does not match CTA requirement - justification required in comments
3: Fail: CellsForRRuleGuideline: Switch/variable setting does not match CTA requirement - justification required in comments
4: Fail: CellsForRRuleRecommended: Switch/variable setting does not match CTA requirement - justification required in comments
5: Fail: ChipWindowUsed: Switch/variable setting does not match CTA requirement - justification required in comments
6: Fail: CoWoS_S: Switch/variable setting does not match CTA requirement - justification required in comments</t>
    </r>
  </si>
  <si>
    <t>/home/jingyu/checklist_dev/CHECKLIST/CHECKLIST/IP_project_folder/logs/do_cmd_3star_DRC_sourceme
/home/jingyu/checklist_dev/CHECKLIST/CHECKLIST/IP_project_folder/logs/do_pvs_DRC_pvl.log</t>
  </si>
  <si>
    <t xml:space="preserve">/projects/Murano_N4P_80bits_6400_phy/work/CDN_104V_cdn_hs_phy_data_slice_NS/chudongy/signoff/signoff-0822/cmd_run/3StarANT/3stars_DRC_ANT_AMD_TN04CLDR017C1_1_0B/sourceme
/projects/TC73_DDR5_12800_N5P/work/tv_chip/baoguang/signoff/signoff-1204u/pvs_run/ANTwD/pegasus-1765083148-nfdpc317-44148/pvl.log                                        
</t>
  </si>
  <si>
    <t>${CHECKLIST_ROOT}/IP_project_folder/logs/do_pvs_ANT_pvl.log
${CHECKLIST_ROOT}/IP_project_folder/logs/do_cmd_3star_ANT_sourceme</t>
  </si>
  <si>
    <t>${CHECKLIST_ROOT}/IP_project_folder/logs/do_pvs_ANT_MIM_pvl.log
${CHECKLIST_ROOT}/IP_project_folder/logs/do_cmd_3star_ANT_MIM_sourceme</t>
  </si>
  <si>
    <t xml:space="preserve">/projects/Murano_N4P_80bits_6400_phy/work/CDN_104V_cdn_hs_phy_data_slice_NS/chudongy/signoff/signoff-0822/cmd_run/3StarLVS/3stars_LVS_TN04_1p0A_15M_1X1Xb1Xe1Ya1Yb5Y2Yy2Z/sourceme
/projects/TC73_DDR5_12800_N5P/work/tv_chip/baoguang/signoff/signoff-1204u/pvs_run/LVSwD/pegasus-1765177959-nfdpcsr047-795106/pvl.log                                              
</t>
  </si>
  <si>
    <t>${CHECKLIST_ROOT}/IP_project_folder/logs/do_pvs_LVS_pvl.log
${CHECKLIST_ROOT}/IP_project_folder/logs/do_cmd_3star_LVS_sourceme</t>
  </si>
  <si>
    <t>/home/jingyu/checklist_dev/CHECKLIST/CHECKLIST/IP_project_folder/logs/do_cmd_3star_LVS_sourceme
/home/jingyu/checklist_dev/CHECKLIST/CHECKLIST/IP_project_folder/logs/do_pvs_LVS_pvl.log</t>
  </si>
  <si>
    <t xml:space="preserve">/projects/zte_n38_DDR5_DF_12800_phy/work/cdn_hs_phy_top/chudongy/signoff/signoff-260106/pvs_run/DRCwD/DRC.rep
/projects/Murano_N4P_80bits_6400_phy/work/cadence_phy_cdn_hs_phy_top/lijing/signoff/signoff-0901/cmd_run/3StarDRC/3stars_DRC_AMD_TN04CLDR017C1_1_0B_01Sep0334_results/summary.rep
</t>
  </si>
  <si>
    <t xml:space="preserve">/home/jingyu/checklist_dev/CHECKLIST/CHECKLIST/IP_project_folder/reports/pv/Calibre_DRC.rep
/home/jingyu/checklist_dev/CHECKLIST/CHECKLIST/IP_project_folder/reports/pv/Pegasus_DRC.rep
</t>
  </si>
  <si>
    <t>/projects/Murano_N4P_80bits_6400_phy/work/cadence_phy_cdn_hs_phy_top/lijing/signoff/signoff-0901/cmd_run/3StarBUMP/3stars_T000BPDR031C1_0_1_1A_N4_01Sep0334_results/summary.rep
/projects/TC65_LPDDR6_N3P_14400/work/cdns_lp6_x48_ew_phy_top/chudongy/signoff/signoff-0303/pvs_run/PKGwD/DRC_BUMP.rep</t>
  </si>
  <si>
    <t>/home/jingyu/checklist_dev/CHECKLIST/CHECKLIST/IP_project_folder/reports/pv/Calibre_BUMP.rep
/home/jingyu/checklist_dev/CHECKLIST/CHECKLIST/IP_project_folder/reports/pv/Pegasus_BUMP.rep</t>
  </si>
  <si>
    <t>/projects/MCPU_N5_80bits_8400_phy/work/cadence_phy_cdn_hs_phy_top/jingyu/signoff/signoff-250901.update_hm/cmd_run/3StarBUMPARC/M2_3stars_DRC_BRCM_TN05_26Apr2024_01Sep1434_results/summary.rep</t>
  </si>
  <si>
    <t>/home/jingyu/checklist_dev/CHECKLIST/CHECKLIST/IP_project_folder/reports/pv/Calibre_ARC.rep</t>
  </si>
  <si>
    <t>yyin</t>
  </si>
  <si>
    <t>8.0 - PHYSICAL IMPLEMENTATION CHECK  (GENERAL FOR ALL IPS)</t>
  </si>
  <si>
    <t>Onwer</t>
  </si>
  <si>
    <t>/projects/socionext_nagoya_n1_tsmc5_32bits_phy_ddr5/work/cadence_phy_cdn_hs_phy_top/xialiou/apr/pnr-20260108/dbs/cadence_phy_cdn_hs_phy_top.innovusPostC0.enc.dat/</t>
  </si>
  <si>
    <t>/projects/socionext_nagoya_n1_tsmc5_32bits_phy_ddr5/release/socionext_nagoya_n1_tsmc5_32bits_phy_ddr5_initial_20251023/cadence_phy_cdn_hs_phy_top/models/lef/cadence_phy_cdn_hs_phy_top.lef</t>
  </si>
  <si>
    <t>Method 1 (Preferred): Match _EW_ or _NS_ from the MACRO name
↓ Not found
Method 2 (Fallback): Count signal pin distribution across four edges
→ EW_count &gt; NS_count → "EW"
→ NS_count &gt; EW_count → "NS"</t>
  </si>
  <si>
    <t>Xu Jia</t>
  </si>
  <si>
    <t>/projects/yunbao_N6_80bits_EW_PHY_OD_6400/work/CDN_104H_cdn_hs_phy_data_slice_EW/xujia/apr/CDN_104H_cdn_hs_phy_data_slice_EW.1126_fix_dontuse.enc.dat
/projects/sd2101_t6_pd/PD/cpd_sd2101_t6_pd/work/cdrlf_wrapper/13M1X1Xa1Ya5Y2Yy2Z_UT/chyao_iter1226/data/Floorplan.interactive.INVS_INTERACTIVE_FP_20251226_08_50/SAVE/cdrlf_wrapper.Floorplan.interactive.INVS_INTERACTIVE_FP.20251226_0852.innovus.db
/projects/sd2101_t6_pd/PD/cpd_sd2101_t6_pd/work/cdrlf_wrapper/13M1X1Xa1Ya5Y2Yy2Z_UT/chyao_iter1226/data/Floorplan.interactive.INVS_INTERACTIVE_FP_20251226_08_50/SAVE/cdrlf_wrapper.Floorplan.interactive.INVS_INTERACTIVE_FP.20251226.innovus.enc.dat</t>
  </si>
  <si>
    <t>/home/chyao/script/AAI_checklist/rpt/IMP-8-0-0-01/IMP-8-0-0-01_case0.rpt
/home/chyao/script/AAI_checklist/rpt/IMP-8-0-0-01/IMP-8-0-0-01_case1.rpt
/home/chyao/script/AAI_checklist/rpt/IMP-8-0-0-01/IMP-8-0-0-01_case2.rpt
/home/chyao/script/AAI_checklist/rpt/IMP-8-0-0-01/IMP-8-0-0-01_case3.rpt</t>
  </si>
  <si>
    <t>case0:  /projects/yunbao_N6_80bits_EW_PHY_OD_6400/work/CDN_104H_cdn_hs_phy_data_slice_EW/xujia/apr/CDN_104H_cdn_hs_phy_data_slice_EW.1126_fix_dontuse.enc.dat
case1:/projects/sd2101_t6_pd/PD/cpd_sd2101_t6_pd/work/cdrlf_wrapper/13M1X1Xa1Ya5Y2Yy2Z_UT/chyao_iter1226/data/Floorplan.interactive.INVS_INTERACTIVE_FP_20251226_08_50/SAVE/cdrlf_wrapper.Floorplan.interactive.INVS_INTERACTIVE_FP.20251226_0852.innovus.db
case2:/projects/sd2101_t6_pd/PD/cpd_sd2101_t6_pd/work/cdrlf_wrapper/13M1X1Xa1Ya5Y2Yy2Z_UT/chyao_iter1226/data/Floorplan.interactive.INVS_INTERACTIVE_FP_20251226_08_50/SAVE/cdrlf_wrapper.Floorplan.interactive.INVS_INTERACTIVE_FP.20251226.innovus.enc.dat
case3:/projects/sd2101_t6_pd/PD/cpd_sd2101_t6_pd/work/cdrlf_wrapper/13M1X1Xa1Ya5Y2Yy2Z_UT/chyao_iter1226/data/Floorplan.interactive.INVS_INTERACTIVE_FP_20251226_08_50/SAVE/cdrlf_wrapper.Floorplan.interactive.INVS_INTERACTIVE_FP.20251226.innovus.enc.dat</t>
  </si>
  <si>
    <t>Chenghao Yao</t>
  </si>
  <si>
    <t>/home/chyao/script/AAI_checklist/rpt/IMP-8-0-0-02/IMP-8-0-0-02_case0.rpt
/home/chyao/script/AAI_checklist/rpt/IMP-8-0-0-02/IMP-8-0-0-02_case1.rpt
/home/chyao/script/AAI_checklist/rpt/IMP-8-0-0-02/IMP-8-0-0-02_case2.rpt
/home/chyao/script/AAI_checklist/rpt/IMP-8-0-0-02/IMP-8-0-0-02_case3.rpt</t>
  </si>
  <si>
    <t xml:space="preserve">This checker validates that routing blockages are properly created along all outer edges of the block boundary. The block can be a simple rectangle (4 edges) or a complex shape like L-type or stepped configuration (multiple edges). The checker parses die box definitions, calculates the complete outer boundary (which may form a polygon for multi-rectangle blocks), identifies all outer edge segments, and verifies that each edge has corresponding routing blockage coverage across all metal layers </t>
  </si>
  <si>
    <t>/projects/yunbao_N6_80bits_EW_PHY_OD_6400/work/CDN_104H_cdn_hs_phy_data_slice_EW/xujia/apr/CDN_104H_cdn_hs_phy_data_slice_EW.1126_fix_dontuse.enc.dat
/projects/yunbao_N6_80bits_EW_PHY_OD_6400/work/CDN_1ACH_cdn_hs_phy_acm_slice_EW/chyao/eco/dbs/CDN_1ACH_cdn_hs_phy_acm_slice_EW.1125b_eco_fix_dontuse.enc.dat</t>
  </si>
  <si>
    <t>/home/chyao/script/AAI_checklist/rpt/IMP-8-0-0-04/IMP-8-0-0-04_case0.rpt
/home/chyao/script/AAI_checklist/rpt/IMP-8-0-0-04/IMP-8-0-0-04_case1.rpt
/home/chyao/script/AAI_checklist/rpt/IMP-8-0-0-04/IMP-8-0-0-04_case2.rpt</t>
  </si>
  <si>
    <t>case0:  /projects/yunbao_N6_80bits_EW_PHY_OD_6400/work/CDN_104H_cdn_hs_phy_data_slice_EW/xujia/apr/CDN_104H_cdn_hs_phy_data_slice_EW.1126_fix_dontuse.enc.dat
case1:/projects/yunbao_N6_80bits_EW_PHY_OD_6400/work/CDN_1ACH_cdn_hs_phy_acm_slice_EW/chyao/eco/dbs/CDN_1ACH_cdn_hs_phy_acm_slice_EW.1125b_eco_fix_dontuse.enc.dat
case2: /projects/yunbao_N6_80bits_EW_PHY_OD_6400/work/CDN_1ACH_cdn_hs_phy_acm_slice_EW/chyao/eco/dbs/CDN_1ACH_cdn_hs_phy_acm_slice_EW.1125b_eco_fix_dontuse.enc.dat</t>
  </si>
  <si>
    <t>/home/chyao/script/AAI_checklist/rpt/IMP-8-0-0-08/IMP-8-0-0-08.rpt</t>
  </si>
  <si>
    <t>/home/chyao/script/AAI_checklist/rpt/IMP-8-0-0-09/get_default_switching_activity  /home/chyao/script/AAI_checklist/rpt/IMP-8-0-0-09/getNanoRouteMode
/home/chyao/script/AAI_checklist/rpt/IMP-8-0-0-09/getDesignMode                   /home/chyao/script/AAI_checklist/rpt/IMP-8-0-0-09/getOptMode</t>
  </si>
  <si>
    <t>/home/chyao/script/AAI_checklist/rpt/IMP-8-0-0-12/IMP-8-0-0-12_case0.rpt
/home/chyao/script/AAI_checklist/rpt/IMP-8-0-0-12/IMP-8-0-0-12_case1.rpt</t>
  </si>
  <si>
    <t>case0: /projects/yunbao_N6_80bits_EW_PHY_OD_6400/work/CDN_104H_cdn_hs_phy_data_slice_EW/xujia/apr/CDN_104H_cdn_hs_phy_data_slice_EW.1126_fix_dontuse.enc.dat
case1:
/projects/yunbao_N6_80bits_EW_PHY_OD_6400/work/CDN_1ACH_cdn_hs_phy_acm_slice_EW/chyao/eco/dbs/CDN_1ACH_cdn_hs_phy_acm_slice_EW.1125b_eco_fix_dontuse.enc.dat</t>
  </si>
  <si>
    <t>/projects/yunbao_N6_80bits_EW_PHY_OD_6400/work/CDN_1ACH_cdn_hs_phy_acm_slice_EW/chyao/eco/dbs/CDN_1ACH_cdn_hs_phy_acm_slice_EW.1125b_eco_fix_dontuse.enc.dat</t>
  </si>
  <si>
    <t>/home/chyao/script/AAI_checklist/rpt/IMP-8-0-0-13/IMP-8-0-0-13.rpt</t>
  </si>
  <si>
    <t>/home/chyao/script/AAI_checklist/rpt/IMP-8-0-0-23/IMP-8-0-0-23_case0.rpt
/home/chyao/script/AAI_checklist/rpt/IMP-8-0-0-23/IMP-8-0-0-23_case1.rpt</t>
  </si>
  <si>
    <r>
      <t>8.1 - PHYSICAL IMPLEMENTATION CHECK (</t>
    </r>
    <r>
      <rPr>
        <b/>
        <sz val="10"/>
        <color rgb="FFFF0000"/>
        <rFont val="Calibri"/>
        <family val="2"/>
        <scheme val="minor"/>
      </rPr>
      <t>ONLY FOR MIG</t>
    </r>
    <r>
      <rPr>
        <b/>
        <sz val="10"/>
        <color rgb="FF000000"/>
        <rFont val="Calibri"/>
        <family val="2"/>
        <scheme val="minor"/>
      </rPr>
      <t xml:space="preserve"> HSPHY/HPPHY/DFPHY/GDDRPHY)</t>
    </r>
  </si>
  <si>
    <t>Zhenning Gong</t>
  </si>
  <si>
    <t>Please confirm the below items one by one (check the Note)，
1. Confirm VDD/VDDQ/VDDQX additional Dcap value meet the performance requirement.
2. For LPDDR5 and LP5 combo, place RST/CKE pads to VDDQX domain.
3. For CS pad, if CS/CKE swap logic is implemented (only for LP5/4X combo, CS type will be se_txrx), the CS pad should be placed in VDDQ domain. If CS/CKE swap logic is not implemented (LP5 mode,cs type will be se_cs_txrx), the CS pad should be placed in VDDQX domain.
4. ATB pad can be put into VDDQX domain in general for LP5 and LP5 combo case. Please check with AMS team.
5. Please connect the CKE/RST/CS region vddq decap to VDDQX power net. For VDD decap, please add that to VDD_ISO instead of VDD for LPDDR5 project using ddr800 Gen3IO.
6. For LP4X, place CKE/RESET into VDDQX IO domain.</t>
  </si>
  <si>
    <t>Confirm assigned VDD_AO bump or create VDD_AO dedicated power supply from SOC side to VDD_AO  pin of internal data_retention pad depends on the communication with customer side if "Does customer intend to shutoff VDD externally" is yes in pre2post checklist and "power gating" is no in addendum. (check the Note)
            Pay attention to assign dedicated ESD cells to VDD_AO supply to make sure there is no ESD issue if VDD_AO bump is assigned.
            Make sure the data_retention signal path from SOC side is always on ( not powered by PHY VDD as that can be shut off externally)
            Make sure the related_power_pin of data_retention signal in lib files should be VDD_AO.</t>
  </si>
  <si>
    <t>9.0 - RC EXTRACTION CHECK (GENERAL FOR ALL IPS)</t>
  </si>
  <si>
    <t>12.0 - PHYSICAL VERIFICATION CHECK  (GENERAL FOR ALL 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</si>
</sst>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d\-mmm\-yy;@"/>
  </numFmts>
  <fonts count="36">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sz val="11"/>
      <color theme="1"/>
      <name val="Calibri"/>
      <family val="2"/>
      <charset val="134"/>
      <scheme val="minor"/>
    </font>
    <font>
      <sz val="10"/>
      <name val="Arial"/>
      <family val="2"/>
    </font>
    <font>
      <sz val="9"/>
      <color indexed="81"/>
      <name val="Tahoma"/>
      <family val="2"/>
    </font>
    <font>
      <b/>
      <sz val="9"/>
      <color indexed="81"/>
      <name val="Tahoma"/>
      <family val="2"/>
    </font>
    <font>
      <u/>
      <sz val="11"/>
      <color theme="10"/>
      <name val="Calibri"/>
      <family val="2"/>
    </font>
    <font>
      <sz val="8"/>
      <name val="Calibri"/>
      <family val="2"/>
      <scheme val="minor"/>
    </font>
    <font>
      <sz val="11"/>
      <color rgb="FF3F3F76"/>
      <name val="Calibri"/>
      <family val="2"/>
      <scheme val="minor"/>
    </font>
    <font>
      <sz val="8"/>
      <color theme="1"/>
      <name val="Consolas"/>
      <family val="3"/>
    </font>
    <font>
      <b/>
      <sz val="10"/>
      <color theme="1"/>
      <name val="Calibri"/>
      <family val="2"/>
      <scheme val="minor"/>
    </font>
    <font>
      <b/>
      <sz val="8"/>
      <color theme="1"/>
      <name val="Consolas"/>
      <family val="3"/>
    </font>
    <font>
      <sz val="10"/>
      <color theme="1"/>
      <name val="Calibri"/>
      <family val="2"/>
      <scheme val="minor"/>
    </font>
    <font>
      <sz val="10"/>
      <color rgb="FF000000"/>
      <name val="Calibri"/>
      <family val="2"/>
      <scheme val="minor"/>
    </font>
    <font>
      <sz val="10"/>
      <color rgb="FF3F3F76"/>
      <name val="Calibri"/>
      <family val="2"/>
      <scheme val="minor"/>
    </font>
    <font>
      <b/>
      <sz val="10"/>
      <color rgb="FFFF0000"/>
      <name val="Calibri"/>
      <family val="2"/>
      <scheme val="minor"/>
    </font>
    <font>
      <sz val="10"/>
      <color rgb="FFFF0000"/>
      <name val="Calibri"/>
      <family val="2"/>
      <scheme val="minor"/>
    </font>
    <font>
      <sz val="10"/>
      <name val="Calibri"/>
      <family val="2"/>
      <scheme val="minor"/>
    </font>
    <font>
      <sz val="11"/>
      <color rgb="FF000000"/>
      <name val="Calibri"/>
      <family val="2"/>
    </font>
    <font>
      <sz val="10"/>
      <color rgb="FF3F3F76"/>
      <name val="Calibri"/>
      <charset val="1"/>
    </font>
    <font>
      <sz val="11"/>
      <color rgb="FF242424"/>
      <name val="Aptos Narrow"/>
      <charset val="1"/>
    </font>
    <font>
      <sz val="10"/>
      <color rgb="FF000000"/>
      <name val="Calibri"/>
      <charset val="1"/>
    </font>
    <font>
      <sz val="11"/>
      <color rgb="FF000000"/>
      <name val="Calibri"/>
      <charset val="1"/>
    </font>
    <font>
      <sz val="11"/>
      <color theme="1"/>
      <name val="Calibri"/>
    </font>
    <font>
      <b/>
      <sz val="10"/>
      <color rgb="FF3F3F76"/>
      <name val="Calibri"/>
      <scheme val="minor"/>
    </font>
    <font>
      <sz val="10"/>
      <color rgb="FF3F3F76"/>
      <name val="Calibri"/>
      <scheme val="minor"/>
    </font>
    <font>
      <b/>
      <sz val="10"/>
      <color rgb="FF000000"/>
      <name val="Calibri"/>
      <family val="2"/>
      <scheme val="minor"/>
    </font>
    <font>
      <sz val="11"/>
      <color rgb="FF000000"/>
      <name val="Calibri"/>
      <family val="2"/>
      <scheme val="minor"/>
    </font>
    <font>
      <sz val="10"/>
      <color rgb="FFFF0000"/>
      <name val="Calibri"/>
      <scheme val="minor"/>
    </font>
    <font>
      <sz val="10"/>
      <color rgb="FF000000"/>
      <name val="Calibri"/>
      <scheme val="minor"/>
    </font>
    <font>
      <b/>
      <sz val="10"/>
      <color rgb="FF000000"/>
      <name val="Calibri"/>
      <scheme val="minor"/>
    </font>
    <font>
      <sz val="10"/>
      <color rgb="FF16365C"/>
      <name val="Calibri"/>
      <scheme val="minor"/>
    </font>
    <font>
      <u/>
      <sz val="11"/>
      <color theme="10"/>
      <name val="Calibri"/>
      <family val="2"/>
      <scheme val="minor"/>
    </font>
    <font>
      <b/>
      <sz val="12"/>
      <color rgb="FFFF0000"/>
      <name val="Calibri"/>
      <scheme val="minor"/>
    </font>
  </fonts>
  <fills count="13">
    <fill>
      <patternFill patternType="none"/>
    </fill>
    <fill>
      <patternFill patternType="gray125"/>
    </fill>
    <fill>
      <patternFill patternType="solid">
        <fgColor rgb="FFFFCC99"/>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D9D9D9"/>
        <bgColor rgb="FF000000"/>
      </patternFill>
    </fill>
    <fill>
      <patternFill patternType="solid">
        <fgColor rgb="FFFFCC99"/>
        <bgColor rgb="FF000000"/>
      </patternFill>
    </fill>
    <fill>
      <patternFill patternType="solid">
        <fgColor rgb="FFFFFF00"/>
        <bgColor rgb="FF000000"/>
      </patternFill>
    </fill>
    <fill>
      <patternFill patternType="solid">
        <fgColor rgb="FFDDD9C4"/>
        <bgColor rgb="FF000000"/>
      </patternFill>
    </fill>
    <fill>
      <patternFill patternType="solid">
        <fgColor theme="0"/>
        <bgColor indexed="64"/>
      </patternFill>
    </fill>
  </fills>
  <borders count="26">
    <border>
      <left/>
      <right/>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rgb="FF7F7F7F"/>
      </left>
      <right style="thin">
        <color rgb="FF7F7F7F"/>
      </right>
      <top/>
      <bottom style="thin">
        <color rgb="FF7F7F7F"/>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diagonal/>
    </border>
    <border>
      <left style="thin">
        <color rgb="FF808080"/>
      </left>
      <right style="thin">
        <color rgb="FF808080"/>
      </right>
      <top style="thin">
        <color rgb="FF808080"/>
      </top>
      <bottom/>
      <diagonal/>
    </border>
    <border>
      <left style="thin">
        <color indexed="64"/>
      </left>
      <right style="thin">
        <color indexed="64"/>
      </right>
      <top/>
      <bottom style="thin">
        <color indexed="64"/>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auto="1"/>
      </left>
      <right style="thin">
        <color indexed="64"/>
      </right>
      <top/>
      <bottom/>
      <diagonal/>
    </border>
  </borders>
  <cellStyleXfs count="9">
    <xf numFmtId="0" fontId="0" fillId="0" borderId="0"/>
    <xf numFmtId="9" fontId="1" fillId="0" borderId="0" applyFont="0" applyFill="0" applyBorder="0" applyAlignment="0" applyProtection="0"/>
    <xf numFmtId="0" fontId="3" fillId="0" borderId="0"/>
    <xf numFmtId="0" fontId="4" fillId="0" borderId="0"/>
    <xf numFmtId="0" fontId="5" fillId="0" borderId="0"/>
    <xf numFmtId="0" fontId="8" fillId="0" borderId="0" applyNumberFormat="0" applyFill="0" applyBorder="0" applyAlignment="0" applyProtection="0">
      <alignment vertical="top"/>
      <protection locked="0"/>
    </xf>
    <xf numFmtId="0" fontId="10" fillId="2" borderId="3" applyNumberFormat="0" applyAlignment="0" applyProtection="0"/>
    <xf numFmtId="0" fontId="20" fillId="0" borderId="0">
      <alignment vertical="center"/>
    </xf>
    <xf numFmtId="0" fontId="34" fillId="0" borderId="0" applyNumberFormat="0" applyFill="0" applyBorder="0" applyAlignment="0" applyProtection="0"/>
  </cellStyleXfs>
  <cellXfs count="1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right" vertical="top"/>
    </xf>
    <xf numFmtId="0" fontId="11" fillId="0" borderId="0" xfId="0" applyFont="1" applyAlignment="1">
      <alignment horizontal="center" vertical="top"/>
    </xf>
    <xf numFmtId="0" fontId="0" fillId="0" borderId="0" xfId="0" applyAlignment="1">
      <alignment vertical="top"/>
    </xf>
    <xf numFmtId="0" fontId="12" fillId="0" borderId="0" xfId="0" applyFont="1" applyAlignment="1">
      <alignment vertical="top"/>
    </xf>
    <xf numFmtId="0" fontId="0" fillId="0" borderId="0" xfId="0" applyAlignment="1">
      <alignment horizontal="center" vertical="top"/>
    </xf>
    <xf numFmtId="0" fontId="0" fillId="0" borderId="0" xfId="0" applyAlignment="1">
      <alignment vertical="top" wrapText="1"/>
    </xf>
    <xf numFmtId="0" fontId="12" fillId="3" borderId="4" xfId="0" applyFont="1" applyFill="1" applyBorder="1" applyAlignment="1">
      <alignment horizontal="center" vertical="center" wrapText="1"/>
    </xf>
    <xf numFmtId="0" fontId="0" fillId="0" borderId="4" xfId="0" applyBorder="1" applyAlignment="1">
      <alignment vertical="top" wrapText="1"/>
    </xf>
    <xf numFmtId="0" fontId="13" fillId="0" borderId="0" xfId="0" applyFont="1" applyAlignment="1">
      <alignment horizontal="center" vertical="top"/>
    </xf>
    <xf numFmtId="0" fontId="12" fillId="3" borderId="4" xfId="0" quotePrefix="1" applyFont="1" applyFill="1" applyBorder="1" applyAlignment="1">
      <alignment horizontal="centerContinuous" vertical="center"/>
    </xf>
    <xf numFmtId="0" fontId="12" fillId="3" borderId="5" xfId="0" quotePrefix="1" applyFont="1" applyFill="1" applyBorder="1" applyAlignment="1">
      <alignment horizontal="centerContinuous" vertical="center"/>
    </xf>
    <xf numFmtId="164" fontId="11" fillId="0" borderId="6" xfId="1" applyNumberFormat="1" applyFont="1" applyBorder="1" applyAlignment="1" applyProtection="1">
      <alignment horizontal="centerContinuous" vertical="top"/>
    </xf>
    <xf numFmtId="0" fontId="11" fillId="0" borderId="7" xfId="0" applyFont="1" applyBorder="1" applyAlignment="1">
      <alignment horizontal="centerContinuous" vertical="top"/>
    </xf>
    <xf numFmtId="0" fontId="11" fillId="0" borderId="5" xfId="0" applyFont="1" applyBorder="1" applyAlignment="1">
      <alignment horizontal="centerContinuous" vertical="top"/>
    </xf>
    <xf numFmtId="0" fontId="12" fillId="0" borderId="0" xfId="0" applyFont="1" applyAlignment="1">
      <alignment horizontal="center" vertical="top"/>
    </xf>
    <xf numFmtId="0" fontId="12" fillId="0" borderId="0" xfId="0" applyFont="1" applyAlignment="1">
      <alignment horizontal="center" wrapText="1"/>
    </xf>
    <xf numFmtId="0" fontId="12" fillId="0" borderId="0" xfId="0" applyFont="1" applyAlignment="1">
      <alignment horizontal="center" vertical="top" wrapText="1"/>
    </xf>
    <xf numFmtId="0" fontId="11" fillId="0" borderId="8" xfId="0" applyFont="1" applyBorder="1" applyAlignment="1">
      <alignment horizontal="center" vertical="top"/>
    </xf>
    <xf numFmtId="0" fontId="0" fillId="0" borderId="0" xfId="0" applyAlignment="1">
      <alignment horizontal="left" vertical="top" wrapText="1"/>
    </xf>
    <xf numFmtId="0" fontId="12" fillId="3" borderId="10" xfId="0" quotePrefix="1" applyFont="1" applyFill="1" applyBorder="1" applyAlignment="1">
      <alignment vertical="center"/>
    </xf>
    <xf numFmtId="0" fontId="0" fillId="3" borderId="9" xfId="0" applyFill="1" applyBorder="1" applyAlignment="1">
      <alignment vertical="center"/>
    </xf>
    <xf numFmtId="0" fontId="12" fillId="3" borderId="2" xfId="0" quotePrefix="1" applyFont="1" applyFill="1" applyBorder="1" applyAlignment="1">
      <alignment vertical="center"/>
    </xf>
    <xf numFmtId="0" fontId="2" fillId="3" borderId="2" xfId="0" applyFont="1" applyFill="1" applyBorder="1" applyAlignment="1">
      <alignment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2" fontId="14" fillId="0" borderId="2" xfId="0" applyNumberFormat="1" applyFont="1" applyBorder="1" applyAlignment="1">
      <alignment horizontal="centerContinuous" vertical="top"/>
    </xf>
    <xf numFmtId="0" fontId="15" fillId="0" borderId="2" xfId="0" applyFont="1" applyBorder="1"/>
    <xf numFmtId="0" fontId="16" fillId="2" borderId="2" xfId="6" applyFont="1" applyBorder="1" applyAlignment="1" applyProtection="1">
      <alignment horizontal="center" vertical="top"/>
      <protection locked="0"/>
    </xf>
    <xf numFmtId="0" fontId="16" fillId="2" borderId="2" xfId="6" applyFont="1" applyBorder="1" applyAlignment="1" applyProtection="1">
      <alignment vertical="top" wrapText="1"/>
      <protection locked="0"/>
    </xf>
    <xf numFmtId="0" fontId="16" fillId="2" borderId="2" xfId="6" applyFont="1" applyBorder="1" applyAlignment="1" applyProtection="1">
      <alignment horizontal="center" vertical="top" wrapText="1"/>
      <protection locked="0"/>
    </xf>
    <xf numFmtId="0" fontId="15" fillId="0" borderId="2" xfId="0" applyFont="1" applyBorder="1" applyAlignment="1">
      <alignment wrapText="1"/>
    </xf>
    <xf numFmtId="0" fontId="14" fillId="3" borderId="2" xfId="0" applyFont="1" applyFill="1" applyBorder="1" applyAlignment="1">
      <alignment vertical="center"/>
    </xf>
    <xf numFmtId="0" fontId="14" fillId="0" borderId="2" xfId="0" applyFont="1" applyBorder="1"/>
    <xf numFmtId="0" fontId="14" fillId="0" borderId="2" xfId="0" applyFont="1" applyBorder="1" applyAlignment="1">
      <alignment wrapText="1"/>
    </xf>
    <xf numFmtId="2" fontId="14" fillId="4" borderId="2" xfId="0" applyNumberFormat="1" applyFont="1" applyFill="1" applyBorder="1" applyAlignment="1">
      <alignment horizontal="centerContinuous" vertical="top"/>
    </xf>
    <xf numFmtId="0" fontId="14" fillId="4" borderId="2" xfId="0" applyFont="1" applyFill="1" applyBorder="1"/>
    <xf numFmtId="0" fontId="14" fillId="4" borderId="2" xfId="0" applyFont="1" applyFill="1" applyBorder="1" applyAlignment="1">
      <alignment wrapText="1"/>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4" fillId="5" borderId="2" xfId="0" applyFont="1" applyFill="1" applyBorder="1" applyAlignment="1">
      <alignment wrapText="1"/>
    </xf>
    <xf numFmtId="2" fontId="14" fillId="5" borderId="2" xfId="0" applyNumberFormat="1" applyFont="1" applyFill="1" applyBorder="1" applyAlignment="1">
      <alignment horizontal="centerContinuous" vertical="top"/>
    </xf>
    <xf numFmtId="0" fontId="14" fillId="6" borderId="2" xfId="0" applyFont="1" applyFill="1" applyBorder="1" applyAlignment="1">
      <alignment wrapText="1"/>
    </xf>
    <xf numFmtId="2" fontId="14" fillId="6" borderId="2" xfId="0" applyNumberFormat="1" applyFont="1" applyFill="1" applyBorder="1" applyAlignment="1">
      <alignment horizontal="centerContinuous" vertical="top"/>
    </xf>
    <xf numFmtId="0" fontId="16" fillId="2" borderId="0" xfId="6" applyFont="1" applyBorder="1" applyAlignment="1" applyProtection="1">
      <alignment horizontal="center" vertical="top"/>
      <protection locked="0"/>
    </xf>
    <xf numFmtId="0" fontId="16" fillId="2" borderId="0" xfId="6" applyFont="1" applyBorder="1" applyAlignment="1" applyProtection="1">
      <alignment vertical="top" wrapText="1"/>
      <protection locked="0"/>
    </xf>
    <xf numFmtId="0" fontId="16" fillId="2" borderId="0" xfId="6" applyFont="1" applyBorder="1" applyAlignment="1" applyProtection="1">
      <alignment horizontal="center" vertical="top" wrapText="1"/>
      <protection locked="0"/>
    </xf>
    <xf numFmtId="0" fontId="14" fillId="0" borderId="0" xfId="0" applyFont="1" applyAlignment="1">
      <alignment wrapText="1"/>
    </xf>
    <xf numFmtId="0" fontId="12" fillId="3" borderId="4" xfId="0" applyFont="1" applyFill="1" applyBorder="1" applyAlignment="1">
      <alignment horizontal="center" vertical="top"/>
    </xf>
    <xf numFmtId="0" fontId="10" fillId="2" borderId="11" xfId="6" applyBorder="1" applyAlignment="1" applyProtection="1">
      <alignment horizontal="center" vertical="top"/>
      <protection locked="0"/>
    </xf>
    <xf numFmtId="0" fontId="10" fillId="2" borderId="3" xfId="6" applyAlignment="1" applyProtection="1">
      <alignment horizontal="center" vertical="top"/>
      <protection locked="0"/>
    </xf>
    <xf numFmtId="165" fontId="10" fillId="2" borderId="11" xfId="6" applyNumberFormat="1" applyBorder="1" applyAlignment="1" applyProtection="1">
      <alignment horizontal="center" vertical="top"/>
      <protection locked="0"/>
    </xf>
    <xf numFmtId="0" fontId="12" fillId="3" borderId="4" xfId="0" applyFont="1" applyFill="1" applyBorder="1" applyAlignment="1">
      <alignment horizontal="center"/>
    </xf>
    <xf numFmtId="0" fontId="10" fillId="2" borderId="11" xfId="6" applyBorder="1" applyAlignment="1" applyProtection="1">
      <alignment horizontal="left" vertical="top"/>
      <protection locked="0"/>
    </xf>
    <xf numFmtId="164" fontId="11" fillId="0" borderId="0" xfId="1" applyNumberFormat="1" applyFont="1" applyBorder="1" applyAlignment="1" applyProtection="1">
      <alignment horizontal="centerContinuous" vertical="top"/>
    </xf>
    <xf numFmtId="0" fontId="11" fillId="0" borderId="0" xfId="0" applyFont="1" applyAlignment="1">
      <alignment horizontal="centerContinuous" vertical="top"/>
    </xf>
    <xf numFmtId="2" fontId="14" fillId="0" borderId="0" xfId="0" applyNumberFormat="1" applyFont="1" applyAlignment="1">
      <alignment horizontal="centerContinuous" vertical="top"/>
    </xf>
    <xf numFmtId="0" fontId="18" fillId="0" borderId="2" xfId="0" applyFont="1" applyBorder="1" applyAlignment="1">
      <alignment wrapText="1"/>
    </xf>
    <xf numFmtId="0" fontId="19" fillId="0" borderId="4" xfId="0" applyFont="1" applyBorder="1" applyAlignment="1">
      <alignment vertical="center" wrapText="1"/>
    </xf>
    <xf numFmtId="0" fontId="19" fillId="0" borderId="2" xfId="0" applyFont="1" applyBorder="1" applyAlignment="1">
      <alignment wrapText="1"/>
    </xf>
    <xf numFmtId="0" fontId="12" fillId="3" borderId="2" xfId="0" applyFont="1" applyFill="1" applyBorder="1" applyAlignment="1">
      <alignment horizontal="center" vertical="top" wrapText="1"/>
    </xf>
    <xf numFmtId="0" fontId="12" fillId="3" borderId="4" xfId="0" applyFont="1" applyFill="1" applyBorder="1" applyAlignment="1">
      <alignment horizontal="center" vertical="top" wrapText="1"/>
    </xf>
    <xf numFmtId="0" fontId="12" fillId="3" borderId="2" xfId="0" applyFont="1" applyFill="1" applyBorder="1" applyAlignment="1">
      <alignment horizontal="center" vertical="top"/>
    </xf>
    <xf numFmtId="2" fontId="14" fillId="0" borderId="2" xfId="0" applyNumberFormat="1" applyFont="1" applyBorder="1" applyAlignment="1">
      <alignment horizontal="centerContinuous" vertical="center"/>
    </xf>
    <xf numFmtId="0" fontId="15" fillId="0" borderId="2" xfId="0" applyFont="1" applyBorder="1" applyAlignment="1">
      <alignment vertical="top" wrapText="1"/>
    </xf>
    <xf numFmtId="0" fontId="14" fillId="0" borderId="2" xfId="0" applyFont="1" applyBorder="1" applyAlignment="1">
      <alignment vertical="top" wrapText="1"/>
    </xf>
    <xf numFmtId="0" fontId="12" fillId="3" borderId="10" xfId="0" quotePrefix="1" applyFont="1" applyFill="1" applyBorder="1" applyAlignment="1">
      <alignment vertical="top"/>
    </xf>
    <xf numFmtId="0" fontId="0" fillId="3" borderId="9" xfId="0" applyFill="1" applyBorder="1" applyAlignment="1">
      <alignment vertical="top"/>
    </xf>
    <xf numFmtId="0" fontId="12" fillId="3" borderId="1" xfId="0" applyFont="1" applyFill="1" applyBorder="1" applyAlignment="1">
      <alignment horizontal="center" vertical="top" wrapText="1"/>
    </xf>
    <xf numFmtId="0" fontId="12" fillId="3" borderId="1" xfId="0" applyFont="1" applyFill="1" applyBorder="1" applyAlignment="1">
      <alignment horizontal="center" vertical="top"/>
    </xf>
    <xf numFmtId="0" fontId="14" fillId="0" borderId="2" xfId="0" applyFont="1" applyBorder="1" applyAlignment="1">
      <alignment vertical="center" wrapText="1"/>
    </xf>
    <xf numFmtId="0" fontId="15" fillId="0" borderId="2" xfId="0" applyFont="1" applyBorder="1" applyAlignment="1">
      <alignment vertical="center" wrapText="1"/>
    </xf>
    <xf numFmtId="0" fontId="16" fillId="2" borderId="2" xfId="6" applyFont="1" applyBorder="1" applyAlignment="1" applyProtection="1">
      <alignment horizontal="center" vertical="center" wrapText="1"/>
      <protection locked="0"/>
    </xf>
    <xf numFmtId="0" fontId="0" fillId="0" borderId="4" xfId="0" applyBorder="1" applyAlignment="1">
      <alignment vertical="center" wrapText="1"/>
    </xf>
    <xf numFmtId="0" fontId="16" fillId="2" borderId="2" xfId="6" applyFont="1" applyBorder="1" applyAlignment="1" applyProtection="1">
      <alignment vertical="center" wrapText="1"/>
      <protection locked="0"/>
    </xf>
    <xf numFmtId="0" fontId="12" fillId="0" borderId="0" xfId="0" applyFont="1" applyAlignment="1">
      <alignment horizontal="center" vertical="center"/>
    </xf>
    <xf numFmtId="0" fontId="12" fillId="0" borderId="0" xfId="0" applyFont="1" applyAlignment="1">
      <alignment horizontal="center" vertical="center" wrapText="1"/>
    </xf>
    <xf numFmtId="0" fontId="0" fillId="0" borderId="0" xfId="0" applyAlignment="1">
      <alignment horizontal="center" vertical="center"/>
    </xf>
    <xf numFmtId="0" fontId="15" fillId="0" borderId="2" xfId="0" applyFont="1" applyBorder="1" applyAlignment="1">
      <alignment vertical="center"/>
    </xf>
    <xf numFmtId="0" fontId="12" fillId="0" borderId="0" xfId="0" applyFont="1" applyAlignment="1">
      <alignment vertical="center"/>
    </xf>
    <xf numFmtId="0" fontId="0" fillId="0" borderId="0" xfId="0" applyAlignment="1">
      <alignment horizontal="left" vertical="center" wrapText="1"/>
    </xf>
    <xf numFmtId="0" fontId="0" fillId="0" borderId="0" xfId="0" applyAlignment="1">
      <alignment vertical="center" wrapText="1"/>
    </xf>
    <xf numFmtId="0" fontId="14" fillId="0" borderId="2" xfId="0" applyFont="1" applyBorder="1" applyAlignment="1">
      <alignment vertical="center"/>
    </xf>
    <xf numFmtId="2" fontId="14" fillId="4" borderId="2" xfId="0" applyNumberFormat="1" applyFont="1" applyFill="1" applyBorder="1" applyAlignment="1">
      <alignment horizontal="centerContinuous" vertical="center"/>
    </xf>
    <xf numFmtId="0" fontId="14" fillId="4" borderId="2" xfId="0" applyFont="1" applyFill="1" applyBorder="1" applyAlignment="1">
      <alignment vertical="center"/>
    </xf>
    <xf numFmtId="0" fontId="14" fillId="4" borderId="2" xfId="0" applyFont="1" applyFill="1" applyBorder="1" applyAlignment="1">
      <alignment vertical="center" wrapText="1"/>
    </xf>
    <xf numFmtId="2" fontId="14" fillId="5" borderId="2" xfId="0" applyNumberFormat="1" applyFont="1" applyFill="1" applyBorder="1" applyAlignment="1">
      <alignment horizontal="centerContinuous" vertical="center"/>
    </xf>
    <xf numFmtId="0" fontId="14" fillId="5" borderId="2" xfId="0" applyFont="1" applyFill="1" applyBorder="1" applyAlignment="1">
      <alignment vertical="center" wrapText="1"/>
    </xf>
    <xf numFmtId="2" fontId="14" fillId="6" borderId="2" xfId="0" applyNumberFormat="1" applyFont="1" applyFill="1" applyBorder="1" applyAlignment="1">
      <alignment horizontal="centerContinuous" vertical="center"/>
    </xf>
    <xf numFmtId="0" fontId="14" fillId="6" borderId="2" xfId="0" applyFont="1" applyFill="1" applyBorder="1" applyAlignment="1">
      <alignment vertical="center" wrapText="1"/>
    </xf>
    <xf numFmtId="0" fontId="18" fillId="0" borderId="2" xfId="0" applyFont="1" applyBorder="1" applyAlignment="1">
      <alignment vertical="center" wrapText="1"/>
    </xf>
    <xf numFmtId="2" fontId="14" fillId="0" borderId="0" xfId="0" applyNumberFormat="1" applyFont="1" applyAlignment="1">
      <alignment horizontal="centerContinuous" vertical="center"/>
    </xf>
    <xf numFmtId="0" fontId="0" fillId="0" borderId="9" xfId="0" applyBorder="1" applyAlignment="1">
      <alignment vertical="top" wrapText="1"/>
    </xf>
    <xf numFmtId="0" fontId="16" fillId="2" borderId="2" xfId="6" applyFont="1" applyBorder="1" applyAlignment="1" applyProtection="1">
      <alignment horizontal="left" vertical="center" wrapText="1"/>
      <protection locked="0"/>
    </xf>
    <xf numFmtId="0" fontId="0" fillId="0" borderId="4" xfId="0" applyBorder="1" applyAlignment="1">
      <alignment horizontal="left" vertical="center" wrapText="1"/>
    </xf>
    <xf numFmtId="0" fontId="15" fillId="0" borderId="2" xfId="0" applyFont="1" applyBorder="1" applyAlignment="1">
      <alignment horizontal="left" vertical="center" wrapText="1"/>
    </xf>
    <xf numFmtId="0" fontId="16" fillId="2" borderId="2" xfId="6" applyFont="1" applyBorder="1" applyAlignment="1" applyProtection="1">
      <alignment horizontal="left" wrapText="1"/>
      <protection locked="0"/>
    </xf>
    <xf numFmtId="2" fontId="14" fillId="0" borderId="2" xfId="0" applyNumberFormat="1" applyFont="1" applyBorder="1" applyAlignment="1">
      <alignment horizontal="left" vertical="center" wrapText="1"/>
    </xf>
    <xf numFmtId="0" fontId="12" fillId="3" borderId="2" xfId="0" applyFont="1" applyFill="1" applyBorder="1" applyAlignment="1">
      <alignment horizontal="center" wrapText="1"/>
    </xf>
    <xf numFmtId="0" fontId="16" fillId="2" borderId="2" xfId="6" applyFont="1" applyBorder="1" applyAlignment="1" applyProtection="1">
      <alignment horizontal="center" wrapText="1"/>
      <protection locked="0"/>
    </xf>
    <xf numFmtId="0" fontId="16" fillId="2" borderId="2" xfId="6" applyFont="1" applyBorder="1" applyAlignment="1" applyProtection="1">
      <alignment wrapText="1"/>
      <protection locked="0"/>
    </xf>
    <xf numFmtId="0" fontId="0" fillId="0" borderId="0" xfId="0" applyAlignment="1">
      <alignment wrapText="1"/>
    </xf>
    <xf numFmtId="0" fontId="12" fillId="3" borderId="2" xfId="0" quotePrefix="1" applyFont="1" applyFill="1" applyBorder="1" applyAlignment="1">
      <alignment wrapText="1"/>
    </xf>
    <xf numFmtId="0" fontId="14" fillId="3" borderId="2" xfId="0" applyFont="1" applyFill="1" applyBorder="1" applyAlignment="1">
      <alignment wrapText="1"/>
    </xf>
    <xf numFmtId="2" fontId="14" fillId="0" borderId="2" xfId="0" applyNumberFormat="1" applyFont="1" applyBorder="1" applyAlignment="1">
      <alignment horizontal="centerContinuous" wrapText="1"/>
    </xf>
    <xf numFmtId="0" fontId="0" fillId="0" borderId="2" xfId="0" applyBorder="1" applyAlignment="1">
      <alignment vertical="top" wrapText="1"/>
    </xf>
    <xf numFmtId="0" fontId="16" fillId="2" borderId="12" xfId="6" applyFont="1" applyBorder="1" applyAlignment="1" applyProtection="1">
      <alignment vertical="top" wrapText="1"/>
      <protection locked="0"/>
    </xf>
    <xf numFmtId="0" fontId="0" fillId="0" borderId="13" xfId="0" applyBorder="1" applyAlignment="1">
      <alignment vertical="top" wrapText="1"/>
    </xf>
    <xf numFmtId="0" fontId="19" fillId="0" borderId="2" xfId="0" applyFont="1" applyBorder="1" applyAlignment="1">
      <alignment vertical="center" wrapText="1"/>
    </xf>
    <xf numFmtId="2" fontId="14" fillId="7" borderId="2" xfId="0" applyNumberFormat="1" applyFont="1" applyFill="1" applyBorder="1" applyAlignment="1">
      <alignment horizontal="centerContinuous" vertical="center"/>
    </xf>
    <xf numFmtId="0" fontId="14" fillId="7" borderId="2" xfId="0" applyFont="1" applyFill="1" applyBorder="1" applyAlignment="1">
      <alignment vertical="center"/>
    </xf>
    <xf numFmtId="0" fontId="16" fillId="7" borderId="2" xfId="6" applyFont="1" applyFill="1" applyBorder="1" applyAlignment="1" applyProtection="1">
      <alignment horizontal="center" vertical="center" wrapText="1"/>
      <protection locked="0"/>
    </xf>
    <xf numFmtId="0" fontId="0" fillId="7" borderId="4" xfId="0" applyFill="1" applyBorder="1" applyAlignment="1">
      <alignment vertical="center" wrapText="1"/>
    </xf>
    <xf numFmtId="0" fontId="17" fillId="7" borderId="2" xfId="6" applyFont="1" applyFill="1" applyBorder="1" applyAlignment="1" applyProtection="1">
      <alignment vertical="center" wrapText="1"/>
      <protection locked="0"/>
    </xf>
    <xf numFmtId="0" fontId="22" fillId="0" borderId="0" xfId="0" applyFont="1"/>
    <xf numFmtId="0" fontId="23" fillId="0" borderId="0" xfId="0" applyFont="1"/>
    <xf numFmtId="0" fontId="21" fillId="0" borderId="0" xfId="0" applyFont="1" applyAlignment="1">
      <alignment wrapText="1"/>
    </xf>
    <xf numFmtId="0" fontId="23" fillId="0" borderId="0" xfId="0" applyFont="1" applyAlignment="1">
      <alignment vertical="center" wrapText="1"/>
    </xf>
    <xf numFmtId="14" fontId="16" fillId="2" borderId="2" xfId="6" applyNumberFormat="1" applyFont="1" applyBorder="1" applyAlignment="1" applyProtection="1">
      <alignment vertical="center" wrapText="1"/>
      <protection locked="0"/>
    </xf>
    <xf numFmtId="0" fontId="0" fillId="0" borderId="14" xfId="0" applyBorder="1"/>
    <xf numFmtId="14" fontId="16" fillId="2" borderId="15" xfId="6" applyNumberFormat="1" applyFont="1" applyBorder="1" applyAlignment="1" applyProtection="1">
      <alignment vertical="center" wrapText="1"/>
      <protection locked="0"/>
    </xf>
    <xf numFmtId="0" fontId="0" fillId="0" borderId="14" xfId="0" applyBorder="1" applyAlignment="1">
      <alignment horizontal="center"/>
    </xf>
    <xf numFmtId="0" fontId="24" fillId="0" borderId="0" xfId="0" applyFont="1"/>
    <xf numFmtId="0" fontId="0" fillId="0" borderId="16" xfId="0" applyBorder="1" applyAlignment="1">
      <alignment vertical="center"/>
    </xf>
    <xf numFmtId="0" fontId="0" fillId="0" borderId="17" xfId="0" applyBorder="1"/>
    <xf numFmtId="0" fontId="24" fillId="0" borderId="14" xfId="0" applyFont="1" applyBorder="1"/>
    <xf numFmtId="0" fontId="12" fillId="3" borderId="2" xfId="0" quotePrefix="1" applyFont="1" applyFill="1" applyBorder="1" applyAlignment="1">
      <alignment horizontal="center" vertical="center"/>
    </xf>
    <xf numFmtId="0" fontId="2" fillId="3" borderId="2" xfId="0" applyFont="1" applyFill="1" applyBorder="1" applyAlignment="1">
      <alignment horizontal="center" vertical="center"/>
    </xf>
    <xf numFmtId="0" fontId="28" fillId="8" borderId="2" xfId="0" applyFont="1" applyFill="1" applyBorder="1"/>
    <xf numFmtId="0" fontId="15" fillId="8" borderId="2" xfId="0" applyFont="1" applyFill="1" applyBorder="1"/>
    <xf numFmtId="0" fontId="28" fillId="8" borderId="2" xfId="0" applyFont="1" applyFill="1" applyBorder="1" applyAlignment="1">
      <alignment wrapText="1"/>
    </xf>
    <xf numFmtId="0" fontId="28" fillId="8" borderId="18" xfId="0" applyFont="1" applyFill="1" applyBorder="1" applyAlignment="1">
      <alignment wrapText="1"/>
    </xf>
    <xf numFmtId="0" fontId="28" fillId="8" borderId="1" xfId="0" applyFont="1" applyFill="1" applyBorder="1" applyAlignment="1">
      <alignment wrapText="1"/>
    </xf>
    <xf numFmtId="0" fontId="16" fillId="9" borderId="2" xfId="0" applyFont="1" applyFill="1" applyBorder="1" applyAlignment="1">
      <alignment wrapText="1"/>
    </xf>
    <xf numFmtId="0" fontId="29" fillId="0" borderId="18" xfId="0" applyFont="1" applyBorder="1" applyAlignment="1">
      <alignment wrapText="1"/>
    </xf>
    <xf numFmtId="0" fontId="29" fillId="0" borderId="0" xfId="0" applyFont="1"/>
    <xf numFmtId="14" fontId="29" fillId="0" borderId="0" xfId="0" applyNumberFormat="1" applyFont="1"/>
    <xf numFmtId="0" fontId="15" fillId="10" borderId="2" xfId="0" applyFont="1" applyFill="1" applyBorder="1"/>
    <xf numFmtId="0" fontId="16" fillId="10" borderId="2" xfId="0" applyFont="1" applyFill="1" applyBorder="1" applyAlignment="1">
      <alignment wrapText="1"/>
    </xf>
    <xf numFmtId="0" fontId="29" fillId="10" borderId="18" xfId="0" applyFont="1" applyFill="1" applyBorder="1" applyAlignment="1">
      <alignment wrapText="1"/>
    </xf>
    <xf numFmtId="0" fontId="15" fillId="11" borderId="2" xfId="0" applyFont="1" applyFill="1" applyBorder="1"/>
    <xf numFmtId="0" fontId="15" fillId="11" borderId="2" xfId="0" applyFont="1" applyFill="1" applyBorder="1" applyAlignment="1">
      <alignment wrapText="1"/>
    </xf>
    <xf numFmtId="0" fontId="28" fillId="8" borderId="19" xfId="0" applyFont="1" applyFill="1" applyBorder="1"/>
    <xf numFmtId="0" fontId="29" fillId="8" borderId="20" xfId="0" applyFont="1" applyFill="1" applyBorder="1"/>
    <xf numFmtId="0" fontId="28" fillId="8" borderId="1" xfId="0" applyFont="1" applyFill="1" applyBorder="1"/>
    <xf numFmtId="0" fontId="29" fillId="0" borderId="0" xfId="0" quotePrefix="1" applyFont="1"/>
    <xf numFmtId="0" fontId="27" fillId="2" borderId="14" xfId="6" applyFont="1" applyBorder="1" applyAlignment="1" applyProtection="1">
      <alignment vertical="center" wrapText="1"/>
      <protection locked="0"/>
    </xf>
    <xf numFmtId="0" fontId="0" fillId="0" borderId="14" xfId="0" applyBorder="1" applyAlignment="1">
      <alignment horizontal="center" vertical="center"/>
    </xf>
    <xf numFmtId="0" fontId="31" fillId="5" borderId="2" xfId="0" applyFont="1" applyFill="1" applyBorder="1" applyAlignment="1">
      <alignment vertical="center" wrapText="1"/>
    </xf>
    <xf numFmtId="0" fontId="31" fillId="6" borderId="2" xfId="0" applyFont="1" applyFill="1" applyBorder="1" applyAlignment="1">
      <alignment vertical="center" wrapText="1"/>
    </xf>
    <xf numFmtId="0" fontId="27" fillId="2" borderId="2" xfId="6" applyFont="1" applyBorder="1" applyAlignment="1" applyProtection="1">
      <alignment vertical="center" wrapText="1"/>
      <protection locked="0"/>
    </xf>
    <xf numFmtId="0" fontId="14" fillId="0" borderId="15" xfId="0" applyFont="1" applyBorder="1" applyAlignment="1">
      <alignment vertical="center"/>
    </xf>
    <xf numFmtId="0" fontId="0" fillId="0" borderId="5" xfId="0" applyBorder="1" applyAlignment="1">
      <alignment vertical="center" wrapText="1"/>
    </xf>
    <xf numFmtId="14" fontId="16" fillId="2" borderId="0" xfId="6" applyNumberFormat="1" applyFont="1" applyBorder="1" applyAlignment="1" applyProtection="1">
      <alignment vertical="center" wrapText="1"/>
      <protection locked="0"/>
    </xf>
    <xf numFmtId="0" fontId="0" fillId="0" borderId="2" xfId="0" applyBorder="1" applyAlignment="1">
      <alignment horizontal="center" vertical="center"/>
    </xf>
    <xf numFmtId="0" fontId="0" fillId="0" borderId="2" xfId="0" applyBorder="1" applyAlignment="1">
      <alignment vertical="center" wrapText="1"/>
    </xf>
    <xf numFmtId="0" fontId="25" fillId="0" borderId="2" xfId="0" applyFont="1" applyBorder="1" applyAlignment="1">
      <alignment horizontal="left" vertical="center" wrapText="1"/>
    </xf>
    <xf numFmtId="0" fontId="34" fillId="2" borderId="2" xfId="8" applyFill="1" applyBorder="1" applyAlignment="1" applyProtection="1">
      <alignment horizontal="center" vertical="center" wrapText="1"/>
      <protection locked="0"/>
    </xf>
    <xf numFmtId="14" fontId="16" fillId="2" borderId="2" xfId="6" applyNumberFormat="1" applyFont="1" applyBorder="1" applyAlignment="1" applyProtection="1">
      <alignment horizontal="center" vertical="center" wrapText="1"/>
      <protection locked="0"/>
    </xf>
    <xf numFmtId="0" fontId="12" fillId="3" borderId="22" xfId="0" applyFont="1" applyFill="1" applyBorder="1" applyAlignment="1">
      <alignment horizontal="center" vertical="center" wrapText="1"/>
    </xf>
    <xf numFmtId="0" fontId="0" fillId="0" borderId="23" xfId="0" applyBorder="1" applyAlignment="1">
      <alignment horizontal="center" vertical="center"/>
    </xf>
    <xf numFmtId="14" fontId="16" fillId="2" borderId="23" xfId="6" applyNumberFormat="1" applyFont="1" applyBorder="1" applyAlignment="1" applyProtection="1">
      <alignment vertical="center" wrapText="1"/>
      <protection locked="0"/>
    </xf>
    <xf numFmtId="14" fontId="16" fillId="2" borderId="24" xfId="6" applyNumberFormat="1" applyFont="1" applyBorder="1" applyAlignment="1" applyProtection="1">
      <alignment vertical="center" wrapText="1"/>
      <protection locked="0"/>
    </xf>
    <xf numFmtId="14" fontId="16" fillId="2" borderId="15" xfId="6" applyNumberFormat="1" applyFont="1" applyBorder="1" applyAlignment="1" applyProtection="1">
      <alignment horizontal="center" vertical="center" wrapText="1"/>
      <protection locked="0"/>
    </xf>
    <xf numFmtId="0" fontId="16" fillId="2" borderId="21" xfId="6" applyFont="1" applyBorder="1" applyAlignment="1" applyProtection="1">
      <alignment horizontal="center" vertical="center" wrapText="1"/>
      <protection locked="0"/>
    </xf>
    <xf numFmtId="0" fontId="16" fillId="2" borderId="14" xfId="6" applyFont="1" applyBorder="1" applyAlignment="1" applyProtection="1">
      <alignment vertical="center" wrapText="1"/>
      <protection locked="0"/>
    </xf>
    <xf numFmtId="0" fontId="14" fillId="0" borderId="15" xfId="0" applyFont="1" applyBorder="1" applyAlignment="1">
      <alignment vertical="center" wrapText="1"/>
    </xf>
    <xf numFmtId="0" fontId="0" fillId="7" borderId="0" xfId="0" applyFill="1" applyAlignment="1">
      <alignment horizontal="left" vertical="center" wrapText="1"/>
    </xf>
    <xf numFmtId="0" fontId="12" fillId="7" borderId="2" xfId="0" applyFont="1" applyFill="1" applyBorder="1" applyAlignment="1">
      <alignment horizontal="left" vertical="center" wrapText="1"/>
    </xf>
    <xf numFmtId="0" fontId="0" fillId="12" borderId="2" xfId="0" applyFill="1" applyBorder="1" applyAlignment="1">
      <alignment horizontal="left" vertical="center" wrapText="1"/>
    </xf>
    <xf numFmtId="0" fontId="12" fillId="7" borderId="1" xfId="0" applyFont="1" applyFill="1" applyBorder="1" applyAlignment="1">
      <alignment horizontal="left" vertical="center" wrapText="1"/>
    </xf>
    <xf numFmtId="0" fontId="0" fillId="7" borderId="2" xfId="0" applyFill="1" applyBorder="1" applyAlignment="1">
      <alignment horizontal="left" vertical="center" wrapText="1"/>
    </xf>
    <xf numFmtId="0" fontId="0" fillId="0" borderId="2" xfId="0" applyBorder="1" applyAlignment="1">
      <alignment horizontal="left" vertical="center" wrapText="1"/>
    </xf>
    <xf numFmtId="0" fontId="0" fillId="0" borderId="14" xfId="0" applyBorder="1" applyAlignment="1">
      <alignment horizontal="left" vertical="center" wrapText="1"/>
    </xf>
    <xf numFmtId="0" fontId="2" fillId="7" borderId="0" xfId="0" applyFont="1" applyFill="1" applyAlignment="1">
      <alignment horizontal="left" vertical="center" wrapText="1"/>
    </xf>
    <xf numFmtId="0" fontId="16" fillId="2" borderId="2" xfId="6" applyFont="1" applyBorder="1" applyAlignment="1" applyProtection="1">
      <alignment horizontal="center" vertical="center" wrapText="1"/>
      <protection locked="0"/>
    </xf>
    <xf numFmtId="0" fontId="25" fillId="0" borderId="2" xfId="0" applyFont="1" applyBorder="1" applyAlignment="1">
      <alignment horizontal="center" vertical="center" wrapText="1"/>
    </xf>
    <xf numFmtId="0" fontId="16" fillId="2" borderId="14" xfId="6" applyFont="1" applyBorder="1" applyAlignment="1" applyProtection="1">
      <alignment horizontal="left" vertical="center" wrapText="1"/>
      <protection locked="0"/>
    </xf>
    <xf numFmtId="0" fontId="16" fillId="2" borderId="1" xfId="6" applyFont="1" applyBorder="1" applyAlignment="1" applyProtection="1">
      <alignment horizontal="left" vertical="center" wrapText="1"/>
      <protection locked="0"/>
    </xf>
    <xf numFmtId="0" fontId="16" fillId="2" borderId="25" xfId="6" applyFont="1" applyBorder="1" applyAlignment="1" applyProtection="1">
      <alignment horizontal="left" vertical="center" wrapText="1"/>
      <protection locked="0"/>
    </xf>
    <xf numFmtId="0" fontId="31" fillId="0" borderId="1" xfId="0" applyFont="1" applyBorder="1" applyAlignment="1">
      <alignment vertical="center" wrapText="1"/>
    </xf>
    <xf numFmtId="0" fontId="23" fillId="0" borderId="0" xfId="0" applyFont="1" applyAlignment="1">
      <alignment horizontal="left" vertical="center" wrapText="1"/>
    </xf>
  </cellXfs>
  <cellStyles count="9">
    <cellStyle name="Excel Built-in Normal" xfId="2" xr:uid="{00000000-0005-0000-0000-000000000000}"/>
    <cellStyle name="Hyperlink 2" xfId="5" xr:uid="{0323D801-81D9-4D9B-8790-823F47077420}"/>
    <cellStyle name="Normal 2" xfId="3" xr:uid="{00000000-0005-0000-0000-000003000000}"/>
    <cellStyle name="Normal 2 2" xfId="7" xr:uid="{1A8C7ED3-78A1-4AE3-A9CF-0D9C613153FA}"/>
    <cellStyle name="Normal 3" xfId="4" xr:uid="{00000000-0005-0000-0000-000004000000}"/>
    <cellStyle name="常规" xfId="0" builtinId="0"/>
    <cellStyle name="百分比" xfId="1" builtinId="5"/>
    <cellStyle name="超链接" xfId="8" builtinId="8"/>
    <cellStyle name="输入" xfId="6" builtinId="20"/>
  </cellStyles>
  <dxfs count="32">
    <dxf>
      <font>
        <color theme="0" tint="-0.2499465926084170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24994659260841701"/>
      </font>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cadence.sharepoint.com/:b:/r/sites/DDRHardIP/DDR%20IP%20Application%20Notes/cdn_ddr_phy_physical_img_gen2phy_gen2io_v2.5.pdf?csf=1&amp;web=1&amp;e=wJ3fuj"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C747-755B-46FE-AB71-EE72D490CC8F}">
  <dimension ref="A4:R430"/>
  <sheetViews>
    <sheetView showGridLines="0" topLeftCell="A358" zoomScale="110" zoomScaleNormal="110" workbookViewId="0">
      <selection activeCell="E372" sqref="E372"/>
    </sheetView>
  </sheetViews>
  <sheetFormatPr defaultRowHeight="14.45"/>
  <cols>
    <col min="2" max="2" width="5.5703125" customWidth="1"/>
    <col min="3" max="3" width="5.28515625" customWidth="1"/>
    <col min="4" max="4" width="4.42578125" customWidth="1"/>
    <col min="5" max="5" width="15.42578125" customWidth="1"/>
    <col min="6" max="6" width="112.140625" customWidth="1"/>
    <col min="7" max="7" width="14.5703125" customWidth="1"/>
    <col min="8" max="8" width="24.42578125" customWidth="1"/>
    <col min="9" max="9" width="13.85546875" customWidth="1"/>
    <col min="11" max="11" width="13.42578125" customWidth="1"/>
    <col min="12" max="12" width="13.28515625" customWidth="1"/>
    <col min="13" max="13" width="13.7109375" customWidth="1"/>
    <col min="14" max="14" width="20" customWidth="1"/>
    <col min="15" max="15" width="51.42578125" customWidth="1"/>
    <col min="16" max="16" width="21.85546875" customWidth="1"/>
    <col min="18" max="18" width="84.7109375" customWidth="1"/>
  </cols>
  <sheetData>
    <row r="4" spans="5:9">
      <c r="E4" s="7"/>
      <c r="F4" s="50" t="s">
        <v>0</v>
      </c>
      <c r="G4" s="9" t="s">
        <v>1</v>
      </c>
      <c r="H4" s="5"/>
    </row>
    <row r="5" spans="5:9">
      <c r="E5" s="3" t="s">
        <v>2</v>
      </c>
      <c r="F5" s="51"/>
      <c r="G5" s="55" t="s">
        <v>3</v>
      </c>
      <c r="H5" s="5"/>
    </row>
    <row r="6" spans="5:9">
      <c r="E6" s="3" t="s">
        <v>4</v>
      </c>
      <c r="F6" s="51"/>
      <c r="G6" s="55" t="s">
        <v>5</v>
      </c>
      <c r="H6" s="5"/>
    </row>
    <row r="7" spans="5:9">
      <c r="E7" s="3" t="s">
        <v>6</v>
      </c>
      <c r="F7" s="51"/>
      <c r="G7" s="55" t="s">
        <v>7</v>
      </c>
      <c r="H7" s="5"/>
    </row>
    <row r="8" spans="5:9">
      <c r="E8" s="3" t="s">
        <v>8</v>
      </c>
      <c r="F8" s="51"/>
      <c r="G8" s="55" t="s">
        <v>9</v>
      </c>
      <c r="H8" s="5"/>
    </row>
    <row r="9" spans="5:9">
      <c r="E9" s="3" t="s">
        <v>10</v>
      </c>
      <c r="F9" s="51"/>
      <c r="G9" s="55" t="s">
        <v>11</v>
      </c>
      <c r="H9" s="5"/>
    </row>
    <row r="10" spans="5:9">
      <c r="E10" s="3" t="s">
        <v>12</v>
      </c>
      <c r="F10" s="51"/>
      <c r="G10" s="55" t="s">
        <v>13</v>
      </c>
      <c r="H10" s="5"/>
    </row>
    <row r="11" spans="5:9">
      <c r="E11" s="3" t="s">
        <v>14</v>
      </c>
      <c r="F11" s="51"/>
      <c r="G11" s="55" t="s">
        <v>15</v>
      </c>
      <c r="H11" s="5"/>
    </row>
    <row r="12" spans="5:9">
      <c r="E12" s="3" t="s">
        <v>16</v>
      </c>
      <c r="F12" s="51"/>
      <c r="G12" s="55" t="s">
        <v>17</v>
      </c>
      <c r="H12" s="5"/>
    </row>
    <row r="13" spans="5:9">
      <c r="E13" s="3" t="s">
        <v>18</v>
      </c>
      <c r="F13" s="51"/>
      <c r="G13" s="55" t="s">
        <v>19</v>
      </c>
      <c r="H13" s="5"/>
    </row>
    <row r="14" spans="5:9">
      <c r="E14" s="3" t="s">
        <v>20</v>
      </c>
      <c r="F14" s="53"/>
      <c r="G14" s="55" t="s">
        <v>21</v>
      </c>
      <c r="H14" s="5"/>
      <c r="I14" s="8"/>
    </row>
    <row r="15" spans="5:9">
      <c r="E15" s="7"/>
      <c r="F15" s="5"/>
      <c r="H15" s="5"/>
      <c r="I15" s="8"/>
    </row>
    <row r="16" spans="5:9">
      <c r="E16" s="7"/>
      <c r="F16" s="50" t="s">
        <v>22</v>
      </c>
      <c r="G16" s="54" t="s">
        <v>23</v>
      </c>
      <c r="H16" s="5"/>
    </row>
    <row r="17" spans="1:18">
      <c r="E17" s="3" t="s">
        <v>24</v>
      </c>
      <c r="F17" s="51"/>
      <c r="G17" s="53"/>
      <c r="H17" s="5"/>
    </row>
    <row r="18" spans="1:18">
      <c r="E18" s="3" t="s">
        <v>25</v>
      </c>
      <c r="F18" s="52"/>
      <c r="G18" s="53"/>
      <c r="H18" s="5"/>
    </row>
    <row r="19" spans="1:18">
      <c r="E19" s="3" t="s">
        <v>26</v>
      </c>
      <c r="F19" s="52"/>
      <c r="G19" s="53"/>
      <c r="H19" s="5"/>
    </row>
    <row r="20" spans="1:18">
      <c r="E20" s="3" t="s">
        <v>27</v>
      </c>
      <c r="F20" s="52"/>
      <c r="G20" s="53"/>
      <c r="H20" s="5"/>
    </row>
    <row r="21" spans="1:18">
      <c r="E21" s="3" t="s">
        <v>28</v>
      </c>
      <c r="F21" s="52"/>
      <c r="G21" s="53"/>
      <c r="H21" s="5"/>
    </row>
    <row r="22" spans="1:18">
      <c r="E22" s="3" t="s">
        <v>29</v>
      </c>
      <c r="F22" s="52"/>
      <c r="G22" s="53"/>
      <c r="H22" s="5"/>
    </row>
    <row r="23" spans="1:18">
      <c r="E23" s="3" t="s">
        <v>30</v>
      </c>
      <c r="F23" s="52"/>
      <c r="G23" s="53"/>
      <c r="H23" s="5"/>
    </row>
    <row r="24" spans="1:18">
      <c r="E24" s="7"/>
      <c r="F24" s="5"/>
      <c r="H24" s="5"/>
      <c r="I24" s="8"/>
    </row>
    <row r="25" spans="1:18">
      <c r="A25" s="11"/>
      <c r="B25" s="11"/>
      <c r="C25" s="11"/>
      <c r="D25" s="5"/>
      <c r="E25" s="6"/>
      <c r="F25" s="7"/>
      <c r="G25" s="7"/>
      <c r="H25" s="7"/>
      <c r="I25" s="7"/>
      <c r="J25" s="7"/>
      <c r="K25" s="7"/>
      <c r="L25" s="7"/>
      <c r="M25" s="17"/>
      <c r="N25" s="17"/>
      <c r="O25" s="17"/>
      <c r="P25" s="5"/>
      <c r="Q25" s="5"/>
      <c r="R25" s="8"/>
    </row>
    <row r="26" spans="1:18">
      <c r="A26" s="12" t="s">
        <v>31</v>
      </c>
      <c r="B26" s="13"/>
      <c r="C26" s="13"/>
      <c r="D26" s="5"/>
      <c r="E26" s="6"/>
      <c r="F26" s="3"/>
      <c r="G26" s="3"/>
      <c r="H26" s="3"/>
      <c r="I26" s="3"/>
      <c r="J26" s="3"/>
      <c r="K26" s="3"/>
      <c r="L26" s="3"/>
      <c r="M26" s="17"/>
      <c r="N26" s="17"/>
      <c r="O26" s="17"/>
      <c r="P26" s="5"/>
      <c r="Q26" s="5"/>
      <c r="R26" s="8"/>
    </row>
    <row r="27" spans="1:18">
      <c r="A27" s="14" t="e">
        <f>COUNTIFS($A$114:$A$323,"OK",$B$114:$B$323,"OK",$C$114:$C$323,"OK")/COUNT(#REF!)</f>
        <v>#DIV/0!</v>
      </c>
      <c r="B27" s="15"/>
      <c r="C27" s="16"/>
      <c r="D27" s="17"/>
      <c r="E27" s="17"/>
      <c r="F27" s="17"/>
      <c r="G27" s="17"/>
      <c r="H27" s="17"/>
      <c r="I27" s="17"/>
      <c r="J27" s="17"/>
      <c r="K27" s="17"/>
      <c r="L27" s="17"/>
      <c r="M27" s="17"/>
      <c r="N27" s="17"/>
      <c r="O27" s="17"/>
      <c r="P27" s="18"/>
      <c r="Q27" s="17"/>
      <c r="R27" s="19"/>
    </row>
    <row r="28" spans="1:18">
      <c r="A28" s="56"/>
      <c r="B28" s="57"/>
      <c r="C28" s="57"/>
      <c r="D28" s="17"/>
      <c r="E28" s="17"/>
      <c r="F28" s="17"/>
      <c r="G28" s="17"/>
      <c r="H28" s="17"/>
      <c r="I28" s="17"/>
      <c r="J28" s="17"/>
      <c r="K28" s="17"/>
      <c r="L28" s="17"/>
      <c r="M28" s="17"/>
      <c r="N28" s="17"/>
      <c r="O28" s="17"/>
      <c r="P28" s="18"/>
      <c r="Q28" s="17"/>
      <c r="R28" s="19"/>
    </row>
    <row r="29" spans="1:18">
      <c r="A29" s="56"/>
      <c r="B29" s="57"/>
      <c r="C29" s="57"/>
      <c r="D29" s="17"/>
      <c r="E29" s="17"/>
      <c r="F29" s="17"/>
      <c r="G29" s="17"/>
      <c r="H29" s="17"/>
      <c r="I29" s="17"/>
      <c r="J29" s="17"/>
      <c r="K29" s="17"/>
      <c r="L29" s="17"/>
      <c r="M29" s="17"/>
      <c r="N29" s="17"/>
      <c r="O29" s="17"/>
      <c r="P29" s="18"/>
      <c r="Q29" s="17"/>
      <c r="R29" s="19"/>
    </row>
    <row r="30" spans="1:18" ht="27.6">
      <c r="A30" s="12" t="s">
        <v>32</v>
      </c>
      <c r="B30" s="13"/>
      <c r="C30" s="13"/>
      <c r="D30" s="2"/>
      <c r="E30" s="24" t="s">
        <v>33</v>
      </c>
      <c r="F30" s="25"/>
      <c r="G30" s="26" t="s">
        <v>34</v>
      </c>
      <c r="H30" s="26" t="s">
        <v>35</v>
      </c>
      <c r="I30" s="26" t="s">
        <v>36</v>
      </c>
      <c r="J30" s="26" t="s">
        <v>37</v>
      </c>
      <c r="K30" s="26" t="s">
        <v>38</v>
      </c>
      <c r="L30" s="26" t="s">
        <v>39</v>
      </c>
      <c r="M30" s="26" t="s">
        <v>40</v>
      </c>
      <c r="N30" s="26" t="s">
        <v>41</v>
      </c>
      <c r="O30" s="26" t="s">
        <v>1</v>
      </c>
      <c r="P30" s="27" t="s">
        <v>42</v>
      </c>
      <c r="Q30" s="2"/>
      <c r="R30" s="9" t="s">
        <v>43</v>
      </c>
    </row>
    <row r="31" spans="1:18">
      <c r="A31" s="20" t="str">
        <f t="shared" ref="A31:A34" si="0">IF(J31="","RESP","")</f>
        <v>RESP</v>
      </c>
      <c r="B31" s="20" t="str">
        <f t="shared" ref="B31:B34" si="1">IF(M31="","INIT","")</f>
        <v>INIT</v>
      </c>
      <c r="C31" s="20" t="str">
        <f t="shared" ref="C31:C34" si="2">IF(AND(J31="NO",O31=""),"CMTS","")</f>
        <v/>
      </c>
      <c r="D31" s="2"/>
      <c r="E31" s="28" t="s">
        <v>44</v>
      </c>
      <c r="F31" s="29" t="s">
        <v>45</v>
      </c>
      <c r="G31" s="30" t="s">
        <v>46</v>
      </c>
      <c r="H31" s="30" t="s">
        <v>46</v>
      </c>
      <c r="I31" s="30" t="s">
        <v>46</v>
      </c>
      <c r="J31" s="30"/>
      <c r="K31" s="30" t="s">
        <v>47</v>
      </c>
      <c r="L31" s="30"/>
      <c r="M31" s="30"/>
      <c r="N31" s="30"/>
      <c r="O31" s="31"/>
      <c r="P31" s="32"/>
      <c r="Q31" s="2"/>
      <c r="R31" s="10"/>
    </row>
    <row r="32" spans="1:18">
      <c r="A32" s="20" t="str">
        <f t="shared" si="0"/>
        <v>RESP</v>
      </c>
      <c r="B32" s="20" t="str">
        <f t="shared" si="1"/>
        <v>INIT</v>
      </c>
      <c r="C32" s="20" t="str">
        <f t="shared" si="2"/>
        <v/>
      </c>
      <c r="D32" s="2"/>
      <c r="E32" s="28" t="s">
        <v>48</v>
      </c>
      <c r="F32" s="33" t="s">
        <v>49</v>
      </c>
      <c r="G32" s="30" t="s">
        <v>46</v>
      </c>
      <c r="H32" s="30" t="s">
        <v>46</v>
      </c>
      <c r="I32" s="30" t="s">
        <v>46</v>
      </c>
      <c r="J32" s="30"/>
      <c r="K32" s="30" t="s">
        <v>50</v>
      </c>
      <c r="L32" s="30"/>
      <c r="M32" s="30"/>
      <c r="N32" s="30"/>
      <c r="O32" s="31"/>
      <c r="P32" s="32"/>
      <c r="Q32" s="2"/>
      <c r="R32" s="10"/>
    </row>
    <row r="33" spans="1:18">
      <c r="A33" s="20" t="str">
        <f t="shared" ref="A33" si="3">IF(J33="","RESP","")</f>
        <v>RESP</v>
      </c>
      <c r="B33" s="20" t="str">
        <f t="shared" ref="B33" si="4">IF(M33="","INIT","")</f>
        <v>INIT</v>
      </c>
      <c r="C33" s="20" t="str">
        <f t="shared" ref="C33" si="5">IF(AND(J33="NO",O33=""),"CMTS","")</f>
        <v/>
      </c>
      <c r="D33" s="2"/>
      <c r="E33" s="28" t="s">
        <v>51</v>
      </c>
      <c r="F33" s="29" t="s">
        <v>52</v>
      </c>
      <c r="G33" s="30" t="s">
        <v>46</v>
      </c>
      <c r="H33" s="30" t="s">
        <v>46</v>
      </c>
      <c r="I33" s="30" t="s">
        <v>46</v>
      </c>
      <c r="J33" s="30"/>
      <c r="K33" s="30" t="s">
        <v>47</v>
      </c>
      <c r="L33" s="30"/>
      <c r="M33" s="30"/>
      <c r="N33" s="30"/>
      <c r="O33" s="31"/>
      <c r="P33" s="32"/>
      <c r="Q33" s="2"/>
      <c r="R33" s="10"/>
    </row>
    <row r="34" spans="1:18">
      <c r="A34" s="20" t="str">
        <f t="shared" si="0"/>
        <v>RESP</v>
      </c>
      <c r="B34" s="20" t="str">
        <f t="shared" si="1"/>
        <v>INIT</v>
      </c>
      <c r="C34" s="20" t="str">
        <f t="shared" si="2"/>
        <v/>
      </c>
      <c r="D34" s="2"/>
      <c r="E34" s="28" t="s">
        <v>53</v>
      </c>
      <c r="F34" s="29" t="s">
        <v>54</v>
      </c>
      <c r="G34" s="30" t="s">
        <v>46</v>
      </c>
      <c r="H34" s="30" t="s">
        <v>46</v>
      </c>
      <c r="I34" s="30" t="s">
        <v>46</v>
      </c>
      <c r="J34" s="30"/>
      <c r="K34" s="30" t="s">
        <v>50</v>
      </c>
      <c r="L34" s="30"/>
      <c r="M34" s="30"/>
      <c r="N34" s="30"/>
      <c r="O34" s="31"/>
      <c r="P34" s="32"/>
      <c r="Q34" s="2"/>
      <c r="R34" s="10"/>
    </row>
    <row r="35" spans="1:18">
      <c r="A35" s="20" t="str">
        <f t="shared" ref="A35" si="6">IF(J35="","RESP","")</f>
        <v>RESP</v>
      </c>
      <c r="B35" s="20" t="str">
        <f t="shared" ref="B35" si="7">IF(M35="","INIT","")</f>
        <v>INIT</v>
      </c>
      <c r="C35" s="20" t="str">
        <f t="shared" ref="C35" si="8">IF(AND(J35="NO",O35=""),"CMTS","")</f>
        <v/>
      </c>
      <c r="D35" s="2"/>
      <c r="E35" s="28" t="s">
        <v>55</v>
      </c>
      <c r="F35" s="29" t="s">
        <v>56</v>
      </c>
      <c r="G35" s="30" t="s">
        <v>46</v>
      </c>
      <c r="H35" s="30" t="s">
        <v>46</v>
      </c>
      <c r="I35" s="30" t="s">
        <v>46</v>
      </c>
      <c r="J35" s="30"/>
      <c r="K35" s="30" t="s">
        <v>47</v>
      </c>
      <c r="L35" s="30"/>
      <c r="M35" s="30"/>
      <c r="N35" s="30"/>
      <c r="O35" s="31"/>
      <c r="P35" s="32"/>
      <c r="Q35" s="2"/>
      <c r="R35" s="10"/>
    </row>
    <row r="36" spans="1:18">
      <c r="A36" s="4"/>
      <c r="B36" s="4"/>
      <c r="C36" s="56"/>
      <c r="D36" s="57"/>
      <c r="E36" s="57"/>
      <c r="F36" s="17"/>
      <c r="G36" s="17"/>
      <c r="H36" s="17"/>
      <c r="I36" s="17"/>
      <c r="J36" s="17"/>
      <c r="K36" s="17"/>
      <c r="L36" s="17"/>
      <c r="M36" s="17"/>
      <c r="N36" s="17"/>
      <c r="O36" s="17"/>
      <c r="P36" s="17"/>
      <c r="Q36" s="17"/>
      <c r="R36" s="18"/>
    </row>
    <row r="37" spans="1:18">
      <c r="A37" s="56"/>
      <c r="B37" s="57"/>
      <c r="C37" s="57"/>
      <c r="D37" s="17"/>
      <c r="E37" s="17"/>
      <c r="F37" s="17"/>
      <c r="G37" s="17"/>
      <c r="H37" s="17"/>
      <c r="I37" s="17"/>
      <c r="J37" s="17"/>
      <c r="K37" s="17"/>
      <c r="L37" s="17"/>
      <c r="M37" s="17"/>
      <c r="N37" s="17"/>
      <c r="O37" s="17"/>
      <c r="P37" s="18"/>
      <c r="Q37" s="17"/>
      <c r="R37" s="19"/>
    </row>
    <row r="38" spans="1:18" ht="27.6">
      <c r="A38" s="12" t="s">
        <v>32</v>
      </c>
      <c r="B38" s="13"/>
      <c r="C38" s="13"/>
      <c r="D38" s="2"/>
      <c r="E38" s="24" t="s">
        <v>57</v>
      </c>
      <c r="F38" s="25"/>
      <c r="G38" s="26" t="s">
        <v>34</v>
      </c>
      <c r="H38" s="26" t="s">
        <v>35</v>
      </c>
      <c r="I38" s="26" t="s">
        <v>36</v>
      </c>
      <c r="J38" s="26" t="s">
        <v>37</v>
      </c>
      <c r="K38" s="26" t="s">
        <v>38</v>
      </c>
      <c r="L38" s="26" t="s">
        <v>39</v>
      </c>
      <c r="M38" s="26" t="s">
        <v>40</v>
      </c>
      <c r="N38" s="26" t="s">
        <v>41</v>
      </c>
      <c r="O38" s="26" t="s">
        <v>1</v>
      </c>
      <c r="P38" s="27" t="s">
        <v>42</v>
      </c>
      <c r="Q38" s="2"/>
      <c r="R38" s="9" t="s">
        <v>43</v>
      </c>
    </row>
    <row r="39" spans="1:18" ht="26.45">
      <c r="A39" s="20" t="str">
        <f t="shared" ref="A39:A41" si="9">IF(J39="","RESP","")</f>
        <v>RESP</v>
      </c>
      <c r="B39" s="20" t="str">
        <f t="shared" ref="B39:B41" si="10">IF(M39="","INIT","")</f>
        <v>INIT</v>
      </c>
      <c r="C39" s="20" t="str">
        <f t="shared" ref="C39:C41" si="11">IF(AND(J39="NO",O39=""),"CMTS","")</f>
        <v/>
      </c>
      <c r="D39" s="2"/>
      <c r="E39" s="28" t="s">
        <v>58</v>
      </c>
      <c r="F39" s="33" t="s">
        <v>59</v>
      </c>
      <c r="G39" s="30" t="s">
        <v>46</v>
      </c>
      <c r="H39" s="30" t="s">
        <v>46</v>
      </c>
      <c r="I39" s="30" t="s">
        <v>46</v>
      </c>
      <c r="J39" s="30"/>
      <c r="K39" s="30" t="s">
        <v>50</v>
      </c>
      <c r="L39" s="30"/>
      <c r="M39" s="30"/>
      <c r="N39" s="30"/>
      <c r="O39" s="31"/>
      <c r="P39" s="32"/>
      <c r="Q39" s="2"/>
      <c r="R39" s="10"/>
    </row>
    <row r="40" spans="1:18" ht="26.45">
      <c r="A40" s="20" t="str">
        <f t="shared" si="9"/>
        <v>RESP</v>
      </c>
      <c r="B40" s="20" t="str">
        <f t="shared" si="10"/>
        <v>INIT</v>
      </c>
      <c r="C40" s="20" t="str">
        <f t="shared" si="11"/>
        <v/>
      </c>
      <c r="D40" s="2"/>
      <c r="E40" s="28" t="s">
        <v>60</v>
      </c>
      <c r="F40" s="33" t="s">
        <v>61</v>
      </c>
      <c r="G40" s="30" t="s">
        <v>46</v>
      </c>
      <c r="H40" s="30" t="s">
        <v>46</v>
      </c>
      <c r="I40" s="30" t="s">
        <v>46</v>
      </c>
      <c r="J40" s="30"/>
      <c r="K40" s="30" t="s">
        <v>50</v>
      </c>
      <c r="L40" s="30"/>
      <c r="M40" s="30"/>
      <c r="N40" s="30"/>
      <c r="O40" s="31"/>
      <c r="P40" s="32"/>
      <c r="Q40" s="2"/>
      <c r="R40" s="10"/>
    </row>
    <row r="41" spans="1:18" ht="39.6">
      <c r="A41" s="20" t="str">
        <f t="shared" si="9"/>
        <v>RESP</v>
      </c>
      <c r="B41" s="20" t="str">
        <f t="shared" si="10"/>
        <v>INIT</v>
      </c>
      <c r="C41" s="20" t="str">
        <f t="shared" si="11"/>
        <v/>
      </c>
      <c r="D41" s="2"/>
      <c r="E41" s="28" t="s">
        <v>62</v>
      </c>
      <c r="F41" s="33" t="s">
        <v>63</v>
      </c>
      <c r="G41" s="30" t="s">
        <v>46</v>
      </c>
      <c r="H41" s="30" t="s">
        <v>46</v>
      </c>
      <c r="I41" s="30" t="s">
        <v>46</v>
      </c>
      <c r="J41" s="30"/>
      <c r="K41" s="30" t="s">
        <v>50</v>
      </c>
      <c r="L41" s="30"/>
      <c r="M41" s="30"/>
      <c r="N41" s="30"/>
      <c r="O41" s="31"/>
      <c r="P41" s="32"/>
      <c r="Q41" s="2"/>
      <c r="R41" s="10"/>
    </row>
    <row r="42" spans="1:18">
      <c r="A42" s="20" t="str">
        <f t="shared" ref="A42" si="12">IF(J42="","RESP","")</f>
        <v>RESP</v>
      </c>
      <c r="B42" s="20" t="str">
        <f t="shared" ref="B42" si="13">IF(M42="","INIT","")</f>
        <v>INIT</v>
      </c>
      <c r="C42" s="20" t="str">
        <f t="shared" ref="C42" si="14">IF(AND(J42="NO",O42=""),"CMTS","")</f>
        <v/>
      </c>
      <c r="D42" s="2"/>
      <c r="E42" s="28" t="s">
        <v>64</v>
      </c>
      <c r="F42" s="60" t="s">
        <v>65</v>
      </c>
      <c r="G42" s="30" t="s">
        <v>46</v>
      </c>
      <c r="H42" s="30" t="s">
        <v>46</v>
      </c>
      <c r="I42" s="30" t="s">
        <v>46</v>
      </c>
      <c r="J42" s="30"/>
      <c r="K42" s="30" t="s">
        <v>50</v>
      </c>
      <c r="L42" s="30"/>
      <c r="M42" s="30"/>
      <c r="N42" s="30"/>
      <c r="O42" s="31"/>
      <c r="P42" s="32"/>
      <c r="Q42" s="2"/>
      <c r="R42" s="10"/>
    </row>
    <row r="43" spans="1:18" ht="39.6">
      <c r="A43" s="20" t="str">
        <f t="shared" ref="A43:A50" si="15">IF(J43="","RESP","")</f>
        <v>RESP</v>
      </c>
      <c r="B43" s="20" t="str">
        <f t="shared" ref="B43:B50" si="16">IF(M43="","INIT","")</f>
        <v>INIT</v>
      </c>
      <c r="C43" s="20" t="str">
        <f t="shared" ref="C43:C50" si="17">IF(AND(J43="NO",O43=""),"CMTS","")</f>
        <v/>
      </c>
      <c r="D43" s="2"/>
      <c r="E43" s="28" t="s">
        <v>66</v>
      </c>
      <c r="F43" s="33" t="s">
        <v>67</v>
      </c>
      <c r="G43" s="30" t="s">
        <v>46</v>
      </c>
      <c r="H43" s="30" t="s">
        <v>46</v>
      </c>
      <c r="I43" s="30" t="s">
        <v>46</v>
      </c>
      <c r="J43" s="30"/>
      <c r="K43" s="30" t="s">
        <v>50</v>
      </c>
      <c r="L43" s="30"/>
      <c r="M43" s="30"/>
      <c r="N43" s="30"/>
      <c r="O43" s="31"/>
      <c r="P43" s="32"/>
      <c r="Q43" s="2"/>
      <c r="R43" s="10"/>
    </row>
    <row r="44" spans="1:18">
      <c r="A44" s="20" t="str">
        <f t="shared" si="15"/>
        <v>RESP</v>
      </c>
      <c r="B44" s="20" t="str">
        <f t="shared" si="16"/>
        <v>INIT</v>
      </c>
      <c r="C44" s="20" t="str">
        <f t="shared" si="17"/>
        <v/>
      </c>
      <c r="D44" s="2"/>
      <c r="E44" s="28" t="s">
        <v>68</v>
      </c>
      <c r="F44" s="60" t="s">
        <v>69</v>
      </c>
      <c r="G44" s="30" t="s">
        <v>46</v>
      </c>
      <c r="H44" s="30" t="s">
        <v>46</v>
      </c>
      <c r="I44" s="30" t="s">
        <v>46</v>
      </c>
      <c r="J44" s="30"/>
      <c r="K44" s="30" t="s">
        <v>50</v>
      </c>
      <c r="L44" s="30"/>
      <c r="M44" s="30"/>
      <c r="N44" s="30"/>
      <c r="O44" s="31"/>
      <c r="P44" s="32"/>
      <c r="Q44" s="2"/>
      <c r="R44" s="10"/>
    </row>
    <row r="45" spans="1:18" ht="26.45">
      <c r="A45" s="20" t="str">
        <f t="shared" si="15"/>
        <v>RESP</v>
      </c>
      <c r="B45" s="20" t="str">
        <f t="shared" si="16"/>
        <v>INIT</v>
      </c>
      <c r="C45" s="20" t="str">
        <f t="shared" si="17"/>
        <v/>
      </c>
      <c r="D45" s="2"/>
      <c r="E45" s="28" t="s">
        <v>70</v>
      </c>
      <c r="F45" s="33" t="s">
        <v>71</v>
      </c>
      <c r="G45" s="30" t="s">
        <v>46</v>
      </c>
      <c r="H45" s="30" t="s">
        <v>46</v>
      </c>
      <c r="I45" s="30" t="s">
        <v>46</v>
      </c>
      <c r="J45" s="30"/>
      <c r="K45" s="30" t="s">
        <v>50</v>
      </c>
      <c r="L45" s="30"/>
      <c r="M45" s="30"/>
      <c r="N45" s="30"/>
      <c r="O45" s="31"/>
      <c r="P45" s="32"/>
      <c r="Q45" s="2"/>
      <c r="R45" s="10"/>
    </row>
    <row r="46" spans="1:18">
      <c r="A46" s="20" t="str">
        <f t="shared" ref="A46" si="18">IF(J46="","RESP","")</f>
        <v>RESP</v>
      </c>
      <c r="B46" s="20" t="str">
        <f t="shared" ref="B46" si="19">IF(M46="","INIT","")</f>
        <v>INIT</v>
      </c>
      <c r="C46" s="20" t="str">
        <f t="shared" ref="C46" si="20">IF(AND(J46="NO",O46=""),"CMTS","")</f>
        <v/>
      </c>
      <c r="D46" s="2"/>
      <c r="E46" s="28" t="s">
        <v>72</v>
      </c>
      <c r="F46" s="60" t="s">
        <v>73</v>
      </c>
      <c r="G46" s="30" t="s">
        <v>46</v>
      </c>
      <c r="H46" s="30" t="s">
        <v>46</v>
      </c>
      <c r="I46" s="30" t="s">
        <v>46</v>
      </c>
      <c r="J46" s="30"/>
      <c r="K46" s="30" t="s">
        <v>50</v>
      </c>
      <c r="L46" s="30"/>
      <c r="M46" s="30"/>
      <c r="N46" s="30"/>
      <c r="O46" s="31"/>
      <c r="P46" s="32"/>
      <c r="Q46" s="2"/>
      <c r="R46" s="10"/>
    </row>
    <row r="47" spans="1:18" ht="26.45">
      <c r="A47" s="20" t="str">
        <f t="shared" si="15"/>
        <v>RESP</v>
      </c>
      <c r="B47" s="20" t="str">
        <f t="shared" si="16"/>
        <v>INIT</v>
      </c>
      <c r="C47" s="20" t="str">
        <f t="shared" si="17"/>
        <v/>
      </c>
      <c r="D47" s="2"/>
      <c r="E47" s="28" t="s">
        <v>74</v>
      </c>
      <c r="F47" s="33" t="s">
        <v>75</v>
      </c>
      <c r="G47" s="30" t="s">
        <v>46</v>
      </c>
      <c r="H47" s="30" t="s">
        <v>46</v>
      </c>
      <c r="I47" s="30" t="s">
        <v>46</v>
      </c>
      <c r="J47" s="30"/>
      <c r="K47" s="30" t="s">
        <v>50</v>
      </c>
      <c r="L47" s="30"/>
      <c r="M47" s="30"/>
      <c r="N47" s="30"/>
      <c r="O47" s="31"/>
      <c r="P47" s="32"/>
      <c r="Q47" s="2"/>
      <c r="R47" s="10"/>
    </row>
    <row r="48" spans="1:18">
      <c r="A48" s="20" t="str">
        <f t="shared" si="15"/>
        <v>RESP</v>
      </c>
      <c r="B48" s="20" t="str">
        <f t="shared" si="16"/>
        <v>INIT</v>
      </c>
      <c r="C48" s="20" t="str">
        <f t="shared" si="17"/>
        <v/>
      </c>
      <c r="D48" s="2"/>
      <c r="E48" s="28" t="s">
        <v>76</v>
      </c>
      <c r="F48" s="60" t="s">
        <v>77</v>
      </c>
      <c r="G48" s="30" t="s">
        <v>46</v>
      </c>
      <c r="H48" s="30" t="s">
        <v>46</v>
      </c>
      <c r="I48" s="30" t="s">
        <v>46</v>
      </c>
      <c r="J48" s="30"/>
      <c r="K48" s="30" t="s">
        <v>50</v>
      </c>
      <c r="L48" s="30"/>
      <c r="M48" s="30"/>
      <c r="N48" s="30"/>
      <c r="O48" s="31"/>
      <c r="P48" s="32"/>
      <c r="Q48" s="2"/>
      <c r="R48" s="10"/>
    </row>
    <row r="49" spans="1:18" ht="26.45">
      <c r="A49" s="20" t="str">
        <f t="shared" si="15"/>
        <v>RESP</v>
      </c>
      <c r="B49" s="20" t="str">
        <f t="shared" si="16"/>
        <v>INIT</v>
      </c>
      <c r="C49" s="20" t="str">
        <f t="shared" si="17"/>
        <v/>
      </c>
      <c r="D49" s="2"/>
      <c r="E49" s="28" t="s">
        <v>78</v>
      </c>
      <c r="F49" s="33" t="s">
        <v>79</v>
      </c>
      <c r="G49" s="30" t="s">
        <v>46</v>
      </c>
      <c r="H49" s="30" t="s">
        <v>46</v>
      </c>
      <c r="I49" s="30" t="s">
        <v>46</v>
      </c>
      <c r="J49" s="30"/>
      <c r="K49" s="30" t="s">
        <v>50</v>
      </c>
      <c r="L49" s="30"/>
      <c r="M49" s="30"/>
      <c r="N49" s="30"/>
      <c r="O49" s="31"/>
      <c r="P49" s="32"/>
      <c r="Q49" s="2"/>
      <c r="R49" s="10"/>
    </row>
    <row r="50" spans="1:18" ht="26.45">
      <c r="A50" s="20" t="str">
        <f t="shared" si="15"/>
        <v>RESP</v>
      </c>
      <c r="B50" s="20" t="str">
        <f t="shared" si="16"/>
        <v>INIT</v>
      </c>
      <c r="C50" s="20" t="str">
        <f t="shared" si="17"/>
        <v/>
      </c>
      <c r="D50" s="2"/>
      <c r="E50" s="28" t="s">
        <v>80</v>
      </c>
      <c r="F50" s="33" t="s">
        <v>81</v>
      </c>
      <c r="G50" s="30" t="s">
        <v>46</v>
      </c>
      <c r="H50" s="30" t="s">
        <v>46</v>
      </c>
      <c r="I50" s="30" t="s">
        <v>46</v>
      </c>
      <c r="J50" s="30"/>
      <c r="K50" s="30" t="s">
        <v>50</v>
      </c>
      <c r="L50" s="30"/>
      <c r="M50" s="30"/>
      <c r="N50" s="30"/>
      <c r="O50" s="31"/>
      <c r="P50" s="32"/>
      <c r="Q50" s="2"/>
      <c r="R50" s="10"/>
    </row>
    <row r="51" spans="1:18" ht="26.45">
      <c r="A51" s="20" t="str">
        <f t="shared" ref="A51" si="21">IF(J51="","RESP","")</f>
        <v>RESP</v>
      </c>
      <c r="B51" s="20" t="str">
        <f t="shared" ref="B51" si="22">IF(M51="","INIT","")</f>
        <v>INIT</v>
      </c>
      <c r="C51" s="20" t="str">
        <f t="shared" ref="C51" si="23">IF(AND(J51="NO",O51=""),"CMTS","")</f>
        <v/>
      </c>
      <c r="D51" s="2"/>
      <c r="E51" s="28" t="s">
        <v>82</v>
      </c>
      <c r="F51" s="33" t="s">
        <v>83</v>
      </c>
      <c r="G51" s="30" t="s">
        <v>46</v>
      </c>
      <c r="H51" s="30" t="s">
        <v>46</v>
      </c>
      <c r="I51" s="30" t="s">
        <v>46</v>
      </c>
      <c r="J51" s="30"/>
      <c r="K51" s="30" t="s">
        <v>50</v>
      </c>
      <c r="L51" s="30"/>
      <c r="M51" s="30"/>
      <c r="N51" s="30"/>
      <c r="O51" s="31"/>
      <c r="P51" s="32"/>
      <c r="Q51" s="2"/>
      <c r="R51" s="10"/>
    </row>
    <row r="52" spans="1:18" ht="26.45">
      <c r="A52" s="20" t="str">
        <f t="shared" ref="A52:A53" si="24">IF(J52="","RESP","")</f>
        <v>RESP</v>
      </c>
      <c r="B52" s="20" t="str">
        <f t="shared" ref="B52:B53" si="25">IF(M52="","INIT","")</f>
        <v>INIT</v>
      </c>
      <c r="C52" s="20" t="str">
        <f t="shared" ref="C52:C53" si="26">IF(AND(J52="NO",O52=""),"CMTS","")</f>
        <v/>
      </c>
      <c r="D52" s="2"/>
      <c r="E52" s="28" t="s">
        <v>84</v>
      </c>
      <c r="F52" s="33" t="s">
        <v>85</v>
      </c>
      <c r="G52" s="30" t="s">
        <v>46</v>
      </c>
      <c r="H52" s="30" t="s">
        <v>46</v>
      </c>
      <c r="I52" s="30" t="s">
        <v>46</v>
      </c>
      <c r="J52" s="30"/>
      <c r="K52" s="30" t="s">
        <v>50</v>
      </c>
      <c r="L52" s="30"/>
      <c r="M52" s="30"/>
      <c r="N52" s="30"/>
      <c r="O52" s="31"/>
      <c r="P52" s="32"/>
      <c r="Q52" s="2"/>
      <c r="R52" s="10"/>
    </row>
    <row r="53" spans="1:18" ht="26.45">
      <c r="A53" s="20" t="str">
        <f t="shared" si="24"/>
        <v>RESP</v>
      </c>
      <c r="B53" s="20" t="str">
        <f t="shared" si="25"/>
        <v>INIT</v>
      </c>
      <c r="C53" s="20" t="str">
        <f t="shared" si="26"/>
        <v/>
      </c>
      <c r="D53" s="2"/>
      <c r="E53" s="28" t="s">
        <v>86</v>
      </c>
      <c r="F53" s="33" t="s">
        <v>87</v>
      </c>
      <c r="G53" s="30" t="s">
        <v>46</v>
      </c>
      <c r="H53" s="30" t="s">
        <v>46</v>
      </c>
      <c r="I53" s="30" t="s">
        <v>46</v>
      </c>
      <c r="J53" s="30"/>
      <c r="K53" s="30" t="s">
        <v>50</v>
      </c>
      <c r="L53" s="30"/>
      <c r="M53" s="30"/>
      <c r="N53" s="30"/>
      <c r="O53" s="31"/>
      <c r="P53" s="32"/>
      <c r="Q53" s="2"/>
      <c r="R53" s="10"/>
    </row>
    <row r="54" spans="1:18" ht="26.45">
      <c r="A54" s="20" t="str">
        <f t="shared" ref="A54" si="27">IF(J54="","RESP","")</f>
        <v>RESP</v>
      </c>
      <c r="B54" s="20" t="str">
        <f t="shared" ref="B54" si="28">IF(M54="","INIT","")</f>
        <v>INIT</v>
      </c>
      <c r="C54" s="20" t="str">
        <f t="shared" ref="C54" si="29">IF(AND(J54="NO",O54=""),"CMTS","")</f>
        <v/>
      </c>
      <c r="D54" s="2"/>
      <c r="E54" s="28" t="s">
        <v>88</v>
      </c>
      <c r="F54" s="33" t="s">
        <v>89</v>
      </c>
      <c r="G54" s="30" t="s">
        <v>46</v>
      </c>
      <c r="H54" s="30" t="s">
        <v>46</v>
      </c>
      <c r="I54" s="30" t="s">
        <v>46</v>
      </c>
      <c r="J54" s="30"/>
      <c r="K54" s="30" t="s">
        <v>50</v>
      </c>
      <c r="L54" s="30"/>
      <c r="M54" s="30"/>
      <c r="N54" s="30"/>
      <c r="O54" s="31"/>
      <c r="P54" s="32"/>
      <c r="Q54" s="2"/>
      <c r="R54" s="10"/>
    </row>
    <row r="55" spans="1:18">
      <c r="A55" s="56"/>
      <c r="B55" s="57"/>
      <c r="C55" s="57"/>
      <c r="D55" s="17"/>
      <c r="E55" s="17"/>
      <c r="F55" s="17"/>
      <c r="G55" s="17"/>
      <c r="H55" s="17"/>
      <c r="I55" s="17"/>
      <c r="J55" s="17"/>
      <c r="K55" s="17"/>
      <c r="L55" s="17"/>
      <c r="M55" s="17"/>
      <c r="N55" s="17"/>
      <c r="O55" s="17"/>
      <c r="P55" s="18"/>
      <c r="Q55" s="17"/>
      <c r="R55" s="19"/>
    </row>
    <row r="56" spans="1:18">
      <c r="A56" s="56"/>
      <c r="B56" s="57"/>
      <c r="C56" s="57"/>
      <c r="D56" s="17"/>
      <c r="E56" s="17"/>
      <c r="F56" s="17"/>
      <c r="G56" s="17"/>
      <c r="H56" s="17"/>
      <c r="I56" s="17"/>
      <c r="J56" s="17"/>
      <c r="K56" s="17"/>
      <c r="L56" s="17"/>
      <c r="M56" s="17"/>
      <c r="N56" s="17"/>
      <c r="O56" s="17"/>
      <c r="P56" s="18"/>
      <c r="Q56" s="17"/>
      <c r="R56" s="19"/>
    </row>
    <row r="57" spans="1:18" ht="27.6">
      <c r="A57" s="12" t="s">
        <v>32</v>
      </c>
      <c r="B57" s="13"/>
      <c r="C57" s="13"/>
      <c r="D57" s="2"/>
      <c r="E57" s="24" t="s">
        <v>90</v>
      </c>
      <c r="F57" s="25"/>
      <c r="G57" s="26" t="s">
        <v>34</v>
      </c>
      <c r="H57" s="26" t="s">
        <v>35</v>
      </c>
      <c r="I57" s="26" t="s">
        <v>36</v>
      </c>
      <c r="J57" s="26" t="s">
        <v>37</v>
      </c>
      <c r="K57" s="26" t="s">
        <v>38</v>
      </c>
      <c r="L57" s="26" t="s">
        <v>39</v>
      </c>
      <c r="M57" s="26" t="s">
        <v>40</v>
      </c>
      <c r="N57" s="26" t="s">
        <v>41</v>
      </c>
      <c r="O57" s="26" t="s">
        <v>1</v>
      </c>
      <c r="P57" s="27" t="s">
        <v>42</v>
      </c>
      <c r="Q57" s="2"/>
      <c r="R57" s="9" t="s">
        <v>43</v>
      </c>
    </row>
    <row r="58" spans="1:18">
      <c r="A58" s="20" t="str">
        <f t="shared" ref="A58:A63" si="30">IF(J58="","RESP","")</f>
        <v>RESP</v>
      </c>
      <c r="B58" s="20" t="str">
        <f t="shared" ref="B58:B63" si="31">IF(M58="","INIT","")</f>
        <v>INIT</v>
      </c>
      <c r="C58" s="20" t="str">
        <f t="shared" ref="C58:C63" si="32">IF(AND(J58="NO",O58=""),"CMTS","")</f>
        <v/>
      </c>
      <c r="D58" s="2"/>
      <c r="E58" s="28" t="s">
        <v>91</v>
      </c>
      <c r="F58" s="33" t="s">
        <v>92</v>
      </c>
      <c r="G58" s="30" t="s">
        <v>46</v>
      </c>
      <c r="H58" s="30" t="s">
        <v>46</v>
      </c>
      <c r="I58" s="30" t="s">
        <v>46</v>
      </c>
      <c r="J58" s="30"/>
      <c r="K58" s="30" t="s">
        <v>50</v>
      </c>
      <c r="L58" s="30"/>
      <c r="M58" s="30"/>
      <c r="N58" s="30"/>
      <c r="O58" s="31"/>
      <c r="P58" s="32"/>
      <c r="Q58" s="2"/>
      <c r="R58" s="10"/>
    </row>
    <row r="59" spans="1:18">
      <c r="A59" s="20" t="str">
        <f t="shared" si="30"/>
        <v>RESP</v>
      </c>
      <c r="B59" s="20" t="str">
        <f t="shared" si="31"/>
        <v>INIT</v>
      </c>
      <c r="C59" s="20" t="str">
        <f t="shared" si="32"/>
        <v/>
      </c>
      <c r="D59" s="2"/>
      <c r="E59" s="28" t="s">
        <v>93</v>
      </c>
      <c r="F59" s="33" t="s">
        <v>94</v>
      </c>
      <c r="G59" s="30" t="s">
        <v>46</v>
      </c>
      <c r="H59" s="30" t="s">
        <v>46</v>
      </c>
      <c r="I59" s="30" t="s">
        <v>46</v>
      </c>
      <c r="J59" s="30"/>
      <c r="K59" s="30" t="s">
        <v>50</v>
      </c>
      <c r="L59" s="30"/>
      <c r="M59" s="30"/>
      <c r="N59" s="30"/>
      <c r="O59" s="31"/>
      <c r="P59" s="32"/>
      <c r="Q59" s="2"/>
      <c r="R59" s="10"/>
    </row>
    <row r="60" spans="1:18">
      <c r="A60" s="20" t="str">
        <f t="shared" si="30"/>
        <v>RESP</v>
      </c>
      <c r="B60" s="20" t="str">
        <f t="shared" si="31"/>
        <v>INIT</v>
      </c>
      <c r="C60" s="20" t="str">
        <f t="shared" si="32"/>
        <v/>
      </c>
      <c r="D60" s="2"/>
      <c r="E60" s="28" t="s">
        <v>95</v>
      </c>
      <c r="F60" s="33" t="s">
        <v>96</v>
      </c>
      <c r="G60" s="30" t="s">
        <v>46</v>
      </c>
      <c r="H60" s="30" t="s">
        <v>46</v>
      </c>
      <c r="I60" s="30" t="s">
        <v>46</v>
      </c>
      <c r="J60" s="30"/>
      <c r="K60" s="30" t="s">
        <v>50</v>
      </c>
      <c r="L60" s="30"/>
      <c r="M60" s="30"/>
      <c r="N60" s="30"/>
      <c r="O60" s="31"/>
      <c r="P60" s="32"/>
      <c r="Q60" s="2"/>
      <c r="R60" s="10"/>
    </row>
    <row r="61" spans="1:18">
      <c r="A61" s="20" t="str">
        <f t="shared" si="30"/>
        <v>RESP</v>
      </c>
      <c r="B61" s="20" t="str">
        <f t="shared" si="31"/>
        <v>INIT</v>
      </c>
      <c r="C61" s="20" t="str">
        <f t="shared" si="32"/>
        <v/>
      </c>
      <c r="D61" s="2"/>
      <c r="E61" s="28" t="s">
        <v>97</v>
      </c>
      <c r="F61" s="33" t="s">
        <v>98</v>
      </c>
      <c r="G61" s="30" t="s">
        <v>46</v>
      </c>
      <c r="H61" s="30" t="s">
        <v>46</v>
      </c>
      <c r="I61" s="30" t="s">
        <v>46</v>
      </c>
      <c r="J61" s="30"/>
      <c r="K61" s="30" t="s">
        <v>50</v>
      </c>
      <c r="L61" s="30"/>
      <c r="M61" s="30"/>
      <c r="N61" s="30"/>
      <c r="O61" s="31"/>
      <c r="P61" s="32"/>
      <c r="Q61" s="2"/>
      <c r="R61" s="10"/>
    </row>
    <row r="62" spans="1:18">
      <c r="A62" s="20" t="str">
        <f t="shared" si="30"/>
        <v>RESP</v>
      </c>
      <c r="B62" s="20" t="str">
        <f t="shared" si="31"/>
        <v>INIT</v>
      </c>
      <c r="C62" s="20" t="str">
        <f t="shared" si="32"/>
        <v/>
      </c>
      <c r="D62" s="2"/>
      <c r="E62" s="28" t="s">
        <v>99</v>
      </c>
      <c r="F62" s="33" t="s">
        <v>100</v>
      </c>
      <c r="G62" s="30" t="s">
        <v>46</v>
      </c>
      <c r="H62" s="30" t="s">
        <v>46</v>
      </c>
      <c r="I62" s="30" t="s">
        <v>46</v>
      </c>
      <c r="J62" s="30"/>
      <c r="K62" s="30" t="s">
        <v>50</v>
      </c>
      <c r="L62" s="30"/>
      <c r="M62" s="30"/>
      <c r="N62" s="30"/>
      <c r="O62" s="31"/>
      <c r="P62" s="32"/>
      <c r="Q62" s="2"/>
      <c r="R62" s="10"/>
    </row>
    <row r="63" spans="1:18">
      <c r="A63" s="20" t="str">
        <f t="shared" si="30"/>
        <v>RESP</v>
      </c>
      <c r="B63" s="20" t="str">
        <f t="shared" si="31"/>
        <v>INIT</v>
      </c>
      <c r="C63" s="20" t="str">
        <f t="shared" si="32"/>
        <v/>
      </c>
      <c r="D63" s="2"/>
      <c r="E63" s="28" t="s">
        <v>101</v>
      </c>
      <c r="F63" s="33" t="s">
        <v>102</v>
      </c>
      <c r="G63" s="30" t="s">
        <v>46</v>
      </c>
      <c r="H63" s="30" t="s">
        <v>46</v>
      </c>
      <c r="I63" s="30" t="s">
        <v>46</v>
      </c>
      <c r="J63" s="30"/>
      <c r="K63" s="30" t="s">
        <v>50</v>
      </c>
      <c r="L63" s="30"/>
      <c r="M63" s="30"/>
      <c r="N63" s="30"/>
      <c r="O63" s="31"/>
      <c r="P63" s="32"/>
      <c r="Q63" s="2"/>
      <c r="R63" s="10"/>
    </row>
    <row r="64" spans="1:18">
      <c r="A64" s="56"/>
      <c r="B64" s="57"/>
      <c r="C64" s="57"/>
      <c r="D64" s="17"/>
      <c r="E64" s="17"/>
      <c r="F64" s="17"/>
      <c r="G64" s="17"/>
      <c r="H64" s="17"/>
      <c r="I64" s="17"/>
      <c r="J64" s="17"/>
      <c r="K64" s="17"/>
      <c r="L64" s="17"/>
      <c r="M64" s="17"/>
      <c r="N64" s="17"/>
      <c r="O64" s="17"/>
      <c r="P64" s="18"/>
      <c r="Q64" s="17"/>
      <c r="R64" s="19"/>
    </row>
    <row r="65" spans="1:18">
      <c r="A65" s="4"/>
      <c r="B65" s="4"/>
      <c r="C65" s="4"/>
      <c r="D65" s="17"/>
      <c r="E65" s="17"/>
      <c r="F65" s="17"/>
      <c r="G65" s="17"/>
      <c r="H65" s="17"/>
      <c r="I65" s="17"/>
      <c r="J65" s="17"/>
      <c r="K65" s="17"/>
      <c r="L65" s="17"/>
      <c r="M65" s="17"/>
      <c r="N65" s="17"/>
      <c r="O65" s="17"/>
      <c r="P65" s="1"/>
      <c r="Q65" s="17"/>
      <c r="R65" s="19"/>
    </row>
    <row r="66" spans="1:18" ht="27.6">
      <c r="A66" s="12" t="s">
        <v>32</v>
      </c>
      <c r="B66" s="13"/>
      <c r="C66" s="13"/>
      <c r="D66" s="2"/>
      <c r="E66" s="24" t="s">
        <v>103</v>
      </c>
      <c r="F66" s="34"/>
      <c r="G66" s="26" t="s">
        <v>34</v>
      </c>
      <c r="H66" s="26" t="s">
        <v>35</v>
      </c>
      <c r="I66" s="26" t="s">
        <v>36</v>
      </c>
      <c r="J66" s="26" t="s">
        <v>37</v>
      </c>
      <c r="K66" s="26" t="s">
        <v>38</v>
      </c>
      <c r="L66" s="26" t="s">
        <v>39</v>
      </c>
      <c r="M66" s="26" t="s">
        <v>40</v>
      </c>
      <c r="N66" s="26" t="s">
        <v>41</v>
      </c>
      <c r="O66" s="26" t="s">
        <v>1</v>
      </c>
      <c r="P66" s="27" t="s">
        <v>104</v>
      </c>
      <c r="Q66" s="2"/>
      <c r="R66" s="9" t="s">
        <v>43</v>
      </c>
    </row>
    <row r="67" spans="1:18">
      <c r="A67" s="20" t="str">
        <f t="shared" ref="A67:A77" si="33">IF(J67="","RESP","")</f>
        <v>RESP</v>
      </c>
      <c r="B67" s="20" t="str">
        <f t="shared" ref="B67:B77" si="34">IF(M67="","INIT","")</f>
        <v>INIT</v>
      </c>
      <c r="C67" s="20" t="str">
        <f t="shared" ref="C67:C77" si="35">IF(AND(J67="NO",O67=""),"CMTS","")</f>
        <v/>
      </c>
      <c r="D67" s="5"/>
      <c r="E67" s="28" t="s">
        <v>105</v>
      </c>
      <c r="F67" s="33" t="s">
        <v>106</v>
      </c>
      <c r="G67" s="30" t="s">
        <v>46</v>
      </c>
      <c r="H67" s="30" t="s">
        <v>107</v>
      </c>
      <c r="I67" s="30" t="s">
        <v>46</v>
      </c>
      <c r="J67" s="30"/>
      <c r="K67" s="30" t="s">
        <v>47</v>
      </c>
      <c r="L67" s="30"/>
      <c r="M67" s="30"/>
      <c r="N67" s="30"/>
      <c r="O67" s="31"/>
      <c r="P67" s="32"/>
      <c r="Q67" s="5"/>
      <c r="R67" s="10"/>
    </row>
    <row r="68" spans="1:18">
      <c r="A68" s="20" t="str">
        <f t="shared" si="33"/>
        <v>RESP</v>
      </c>
      <c r="B68" s="20" t="str">
        <f t="shared" si="34"/>
        <v>INIT</v>
      </c>
      <c r="C68" s="20" t="str">
        <f t="shared" si="35"/>
        <v/>
      </c>
      <c r="D68" s="5"/>
      <c r="E68" s="28" t="s">
        <v>108</v>
      </c>
      <c r="F68" s="33" t="s">
        <v>109</v>
      </c>
      <c r="G68" s="30" t="s">
        <v>46</v>
      </c>
      <c r="H68" s="30" t="s">
        <v>107</v>
      </c>
      <c r="I68" s="30" t="s">
        <v>46</v>
      </c>
      <c r="J68" s="30"/>
      <c r="K68" s="30" t="s">
        <v>47</v>
      </c>
      <c r="L68" s="30"/>
      <c r="M68" s="30"/>
      <c r="N68" s="30"/>
      <c r="O68" s="31"/>
      <c r="P68" s="32"/>
      <c r="Q68" s="5"/>
      <c r="R68" s="10"/>
    </row>
    <row r="69" spans="1:18">
      <c r="A69" s="20" t="str">
        <f t="shared" si="33"/>
        <v>RESP</v>
      </c>
      <c r="B69" s="20" t="str">
        <f t="shared" si="34"/>
        <v>INIT</v>
      </c>
      <c r="C69" s="20" t="str">
        <f t="shared" si="35"/>
        <v/>
      </c>
      <c r="D69" s="5"/>
      <c r="E69" s="28" t="s">
        <v>110</v>
      </c>
      <c r="F69" s="33" t="s">
        <v>111</v>
      </c>
      <c r="G69" s="30" t="s">
        <v>46</v>
      </c>
      <c r="H69" s="30" t="s">
        <v>107</v>
      </c>
      <c r="I69" s="30" t="s">
        <v>46</v>
      </c>
      <c r="J69" s="30"/>
      <c r="K69" s="30" t="s">
        <v>47</v>
      </c>
      <c r="L69" s="30"/>
      <c r="M69" s="30"/>
      <c r="N69" s="30"/>
      <c r="O69" s="31"/>
      <c r="P69" s="32"/>
      <c r="Q69" s="5"/>
      <c r="R69" s="10"/>
    </row>
    <row r="70" spans="1:18">
      <c r="A70" s="20" t="str">
        <f t="shared" si="33"/>
        <v>RESP</v>
      </c>
      <c r="B70" s="20" t="str">
        <f t="shared" si="34"/>
        <v>INIT</v>
      </c>
      <c r="C70" s="20" t="str">
        <f t="shared" si="35"/>
        <v/>
      </c>
      <c r="D70" s="5"/>
      <c r="E70" s="28" t="s">
        <v>112</v>
      </c>
      <c r="F70" s="33" t="s">
        <v>113</v>
      </c>
      <c r="G70" s="30" t="s">
        <v>46</v>
      </c>
      <c r="H70" s="30" t="s">
        <v>107</v>
      </c>
      <c r="I70" s="30" t="s">
        <v>46</v>
      </c>
      <c r="J70" s="30"/>
      <c r="K70" s="30" t="s">
        <v>47</v>
      </c>
      <c r="L70" s="30"/>
      <c r="M70" s="30"/>
      <c r="N70" s="30"/>
      <c r="O70" s="31"/>
      <c r="P70" s="32"/>
      <c r="Q70" s="5"/>
      <c r="R70" s="10"/>
    </row>
    <row r="71" spans="1:18">
      <c r="A71" s="20" t="str">
        <f t="shared" si="33"/>
        <v>RESP</v>
      </c>
      <c r="B71" s="20" t="str">
        <f t="shared" si="34"/>
        <v>INIT</v>
      </c>
      <c r="C71" s="20" t="str">
        <f t="shared" si="35"/>
        <v/>
      </c>
      <c r="D71" s="5"/>
      <c r="E71" s="28" t="s">
        <v>114</v>
      </c>
      <c r="F71" s="33" t="s">
        <v>115</v>
      </c>
      <c r="G71" s="30" t="s">
        <v>46</v>
      </c>
      <c r="H71" s="30" t="s">
        <v>107</v>
      </c>
      <c r="I71" s="30" t="s">
        <v>46</v>
      </c>
      <c r="J71" s="30"/>
      <c r="K71" s="30" t="s">
        <v>47</v>
      </c>
      <c r="L71" s="30"/>
      <c r="M71" s="30"/>
      <c r="N71" s="30"/>
      <c r="O71" s="31"/>
      <c r="P71" s="32"/>
      <c r="Q71" s="5"/>
      <c r="R71" s="10"/>
    </row>
    <row r="72" spans="1:18">
      <c r="A72" s="20" t="str">
        <f t="shared" si="33"/>
        <v>RESP</v>
      </c>
      <c r="B72" s="20" t="str">
        <f t="shared" si="34"/>
        <v>INIT</v>
      </c>
      <c r="C72" s="20" t="str">
        <f t="shared" si="35"/>
        <v/>
      </c>
      <c r="D72" s="5"/>
      <c r="E72" s="28" t="s">
        <v>116</v>
      </c>
      <c r="F72" s="33" t="s">
        <v>117</v>
      </c>
      <c r="G72" s="30" t="s">
        <v>46</v>
      </c>
      <c r="H72" s="30" t="s">
        <v>107</v>
      </c>
      <c r="I72" s="30" t="s">
        <v>46</v>
      </c>
      <c r="J72" s="30"/>
      <c r="K72" s="30" t="s">
        <v>47</v>
      </c>
      <c r="L72" s="30"/>
      <c r="M72" s="30"/>
      <c r="N72" s="30"/>
      <c r="O72" s="31"/>
      <c r="P72" s="32"/>
      <c r="Q72" s="5"/>
      <c r="R72" s="10"/>
    </row>
    <row r="73" spans="1:18">
      <c r="A73" s="20" t="str">
        <f t="shared" si="33"/>
        <v>RESP</v>
      </c>
      <c r="B73" s="20" t="str">
        <f t="shared" si="34"/>
        <v>INIT</v>
      </c>
      <c r="C73" s="20" t="str">
        <f t="shared" si="35"/>
        <v/>
      </c>
      <c r="D73" s="5"/>
      <c r="E73" s="28" t="s">
        <v>118</v>
      </c>
      <c r="F73" s="33" t="s">
        <v>119</v>
      </c>
      <c r="G73" s="30" t="s">
        <v>46</v>
      </c>
      <c r="H73" s="30" t="s">
        <v>107</v>
      </c>
      <c r="I73" s="30" t="s">
        <v>46</v>
      </c>
      <c r="J73" s="30"/>
      <c r="K73" s="30" t="s">
        <v>47</v>
      </c>
      <c r="L73" s="30"/>
      <c r="M73" s="30"/>
      <c r="N73" s="30"/>
      <c r="O73" s="31"/>
      <c r="P73" s="32"/>
      <c r="Q73" s="5"/>
      <c r="R73" s="10"/>
    </row>
    <row r="74" spans="1:18" ht="26.45">
      <c r="A74" s="20" t="str">
        <f t="shared" si="33"/>
        <v>RESP</v>
      </c>
      <c r="B74" s="20" t="str">
        <f t="shared" si="34"/>
        <v>INIT</v>
      </c>
      <c r="C74" s="20" t="str">
        <f t="shared" si="35"/>
        <v/>
      </c>
      <c r="D74" s="5"/>
      <c r="E74" s="28" t="s">
        <v>120</v>
      </c>
      <c r="F74" s="33" t="s">
        <v>121</v>
      </c>
      <c r="G74" s="30" t="s">
        <v>46</v>
      </c>
      <c r="H74" s="30" t="s">
        <v>107</v>
      </c>
      <c r="I74" s="30" t="s">
        <v>46</v>
      </c>
      <c r="J74" s="30"/>
      <c r="K74" s="30" t="s">
        <v>47</v>
      </c>
      <c r="L74" s="30"/>
      <c r="M74" s="30"/>
      <c r="N74" s="30"/>
      <c r="O74" s="31"/>
      <c r="P74" s="32"/>
      <c r="Q74" s="5"/>
      <c r="R74" s="33" t="s">
        <v>122</v>
      </c>
    </row>
    <row r="75" spans="1:18" ht="26.45">
      <c r="A75" s="20" t="str">
        <f t="shared" si="33"/>
        <v>RESP</v>
      </c>
      <c r="B75" s="20" t="str">
        <f t="shared" si="34"/>
        <v>INIT</v>
      </c>
      <c r="C75" s="20" t="str">
        <f t="shared" si="35"/>
        <v/>
      </c>
      <c r="D75" s="5"/>
      <c r="E75" s="28" t="s">
        <v>123</v>
      </c>
      <c r="F75" s="33" t="s">
        <v>124</v>
      </c>
      <c r="G75" s="30" t="s">
        <v>46</v>
      </c>
      <c r="H75" s="30" t="s">
        <v>107</v>
      </c>
      <c r="I75" s="30" t="s">
        <v>46</v>
      </c>
      <c r="J75" s="30"/>
      <c r="K75" s="30" t="s">
        <v>47</v>
      </c>
      <c r="L75" s="30"/>
      <c r="M75" s="30"/>
      <c r="N75" s="30"/>
      <c r="O75" s="31"/>
      <c r="P75" s="32"/>
      <c r="Q75" s="5"/>
      <c r="R75" s="33" t="s">
        <v>122</v>
      </c>
    </row>
    <row r="76" spans="1:18" ht="26.45">
      <c r="A76" s="20" t="str">
        <f t="shared" si="33"/>
        <v>RESP</v>
      </c>
      <c r="B76" s="20" t="str">
        <f t="shared" si="34"/>
        <v>INIT</v>
      </c>
      <c r="C76" s="20" t="str">
        <f t="shared" si="35"/>
        <v/>
      </c>
      <c r="D76" s="5"/>
      <c r="E76" s="28" t="s">
        <v>125</v>
      </c>
      <c r="F76" s="33" t="s">
        <v>126</v>
      </c>
      <c r="G76" s="30" t="s">
        <v>46</v>
      </c>
      <c r="H76" s="30" t="s">
        <v>107</v>
      </c>
      <c r="I76" s="30" t="s">
        <v>46</v>
      </c>
      <c r="J76" s="30"/>
      <c r="K76" s="30" t="s">
        <v>47</v>
      </c>
      <c r="L76" s="30"/>
      <c r="M76" s="30"/>
      <c r="N76" s="30"/>
      <c r="O76" s="31"/>
      <c r="P76" s="32"/>
      <c r="Q76" s="5"/>
      <c r="R76" s="33" t="s">
        <v>127</v>
      </c>
    </row>
    <row r="77" spans="1:18">
      <c r="A77" s="20" t="str">
        <f t="shared" si="33"/>
        <v>RESP</v>
      </c>
      <c r="B77" s="20" t="str">
        <f t="shared" si="34"/>
        <v>INIT</v>
      </c>
      <c r="C77" s="20" t="str">
        <f t="shared" si="35"/>
        <v/>
      </c>
      <c r="D77" s="5"/>
      <c r="E77" s="28" t="s">
        <v>128</v>
      </c>
      <c r="F77" s="33" t="s">
        <v>129</v>
      </c>
      <c r="G77" s="30" t="s">
        <v>46</v>
      </c>
      <c r="H77" s="30" t="s">
        <v>107</v>
      </c>
      <c r="I77" s="30" t="s">
        <v>46</v>
      </c>
      <c r="J77" s="30"/>
      <c r="K77" s="30" t="s">
        <v>47</v>
      </c>
      <c r="L77" s="30"/>
      <c r="M77" s="30"/>
      <c r="N77" s="30"/>
      <c r="O77" s="31"/>
      <c r="P77" s="32"/>
      <c r="Q77" s="5"/>
      <c r="R77" s="33" t="s">
        <v>130</v>
      </c>
    </row>
    <row r="78" spans="1:18">
      <c r="A78" s="4"/>
      <c r="B78" s="4"/>
      <c r="C78" s="4"/>
      <c r="D78" s="17"/>
      <c r="E78" s="17"/>
      <c r="F78" s="17"/>
      <c r="G78" s="17"/>
      <c r="H78" s="17"/>
      <c r="I78" s="17"/>
      <c r="J78" s="17"/>
      <c r="K78" s="17"/>
      <c r="L78" s="17"/>
      <c r="M78" s="17"/>
      <c r="N78" s="17"/>
      <c r="O78" s="17"/>
      <c r="P78" s="1"/>
      <c r="Q78" s="17"/>
      <c r="R78" s="19"/>
    </row>
    <row r="79" spans="1:18">
      <c r="A79" s="4"/>
      <c r="B79" s="4"/>
      <c r="C79" s="4"/>
      <c r="D79" s="17"/>
      <c r="E79" s="17"/>
      <c r="F79" s="17"/>
      <c r="G79" s="17"/>
      <c r="H79" s="17"/>
      <c r="I79" s="17"/>
      <c r="J79" s="17"/>
      <c r="K79" s="17"/>
      <c r="L79" s="17"/>
      <c r="M79" s="17"/>
      <c r="N79" s="17"/>
      <c r="O79" s="17"/>
      <c r="P79" s="1"/>
      <c r="Q79" s="17"/>
      <c r="R79" s="19"/>
    </row>
    <row r="80" spans="1:18" ht="27.6">
      <c r="A80" s="12" t="s">
        <v>32</v>
      </c>
      <c r="B80" s="13"/>
      <c r="C80" s="13"/>
      <c r="D80" s="2"/>
      <c r="E80" s="24" t="s">
        <v>131</v>
      </c>
      <c r="F80" s="34"/>
      <c r="G80" s="26" t="s">
        <v>34</v>
      </c>
      <c r="H80" s="26" t="s">
        <v>35</v>
      </c>
      <c r="I80" s="26" t="s">
        <v>36</v>
      </c>
      <c r="J80" s="26" t="s">
        <v>37</v>
      </c>
      <c r="K80" s="26" t="s">
        <v>38</v>
      </c>
      <c r="L80" s="26" t="s">
        <v>39</v>
      </c>
      <c r="M80" s="26" t="s">
        <v>40</v>
      </c>
      <c r="N80" s="26" t="s">
        <v>41</v>
      </c>
      <c r="O80" s="26" t="s">
        <v>1</v>
      </c>
      <c r="P80" s="27" t="s">
        <v>104</v>
      </c>
      <c r="Q80" s="2"/>
      <c r="R80" s="9" t="s">
        <v>43</v>
      </c>
    </row>
    <row r="81" spans="1:18">
      <c r="A81" s="20" t="str">
        <f t="shared" ref="A81:A100" si="36">IF(J81="","RESP","")</f>
        <v>RESP</v>
      </c>
      <c r="B81" s="20" t="str">
        <f t="shared" ref="B81:B100" si="37">IF(M81="","INIT","")</f>
        <v>INIT</v>
      </c>
      <c r="C81" s="20" t="str">
        <f t="shared" ref="C81:C100" si="38">IF(AND(J81="NO",O81=""),"CMTS","")</f>
        <v/>
      </c>
      <c r="D81" s="5"/>
      <c r="E81" s="28" t="s">
        <v>132</v>
      </c>
      <c r="F81" s="33" t="s">
        <v>133</v>
      </c>
      <c r="G81" s="30" t="s">
        <v>46</v>
      </c>
      <c r="H81" s="30" t="s">
        <v>107</v>
      </c>
      <c r="I81" s="30" t="s">
        <v>46</v>
      </c>
      <c r="J81" s="30"/>
      <c r="K81" s="30" t="s">
        <v>50</v>
      </c>
      <c r="L81" s="30"/>
      <c r="M81" s="30"/>
      <c r="N81" s="30"/>
      <c r="O81" s="31"/>
      <c r="P81" s="32"/>
      <c r="Q81" s="5"/>
      <c r="R81" s="10"/>
    </row>
    <row r="82" spans="1:18">
      <c r="A82" s="20" t="str">
        <f t="shared" si="36"/>
        <v>RESP</v>
      </c>
      <c r="B82" s="20" t="str">
        <f t="shared" si="37"/>
        <v>INIT</v>
      </c>
      <c r="C82" s="20" t="str">
        <f t="shared" si="38"/>
        <v/>
      </c>
      <c r="D82" s="5"/>
      <c r="E82" s="28" t="s">
        <v>134</v>
      </c>
      <c r="F82" s="33" t="s">
        <v>135</v>
      </c>
      <c r="G82" s="30" t="s">
        <v>46</v>
      </c>
      <c r="H82" s="30" t="s">
        <v>107</v>
      </c>
      <c r="I82" s="30" t="s">
        <v>46</v>
      </c>
      <c r="J82" s="30"/>
      <c r="K82" s="30" t="s">
        <v>50</v>
      </c>
      <c r="L82" s="30"/>
      <c r="M82" s="30"/>
      <c r="N82" s="30"/>
      <c r="O82" s="31"/>
      <c r="P82" s="32"/>
      <c r="Q82" s="5"/>
      <c r="R82" s="10"/>
    </row>
    <row r="83" spans="1:18">
      <c r="A83" s="20" t="str">
        <f t="shared" si="36"/>
        <v>RESP</v>
      </c>
      <c r="B83" s="20" t="str">
        <f t="shared" si="37"/>
        <v>INIT</v>
      </c>
      <c r="C83" s="20" t="str">
        <f t="shared" si="38"/>
        <v/>
      </c>
      <c r="D83" s="5"/>
      <c r="E83" s="28" t="s">
        <v>136</v>
      </c>
      <c r="F83" s="33" t="s">
        <v>137</v>
      </c>
      <c r="G83" s="30" t="s">
        <v>46</v>
      </c>
      <c r="H83" s="30" t="s">
        <v>107</v>
      </c>
      <c r="I83" s="30" t="s">
        <v>46</v>
      </c>
      <c r="J83" s="30"/>
      <c r="K83" s="30" t="s">
        <v>50</v>
      </c>
      <c r="L83" s="30"/>
      <c r="M83" s="30"/>
      <c r="N83" s="30"/>
      <c r="O83" s="31"/>
      <c r="P83" s="32"/>
      <c r="Q83" s="5"/>
      <c r="R83" s="10"/>
    </row>
    <row r="84" spans="1:18">
      <c r="A84" s="20" t="str">
        <f t="shared" si="36"/>
        <v>RESP</v>
      </c>
      <c r="B84" s="20" t="str">
        <f t="shared" si="37"/>
        <v>INIT</v>
      </c>
      <c r="C84" s="20" t="str">
        <f t="shared" si="38"/>
        <v/>
      </c>
      <c r="D84" s="5"/>
      <c r="E84" s="28" t="s">
        <v>138</v>
      </c>
      <c r="F84" s="33" t="s">
        <v>139</v>
      </c>
      <c r="G84" s="30" t="s">
        <v>46</v>
      </c>
      <c r="H84" s="30" t="s">
        <v>107</v>
      </c>
      <c r="I84" s="30" t="s">
        <v>46</v>
      </c>
      <c r="J84" s="30"/>
      <c r="K84" s="30" t="s">
        <v>47</v>
      </c>
      <c r="L84" s="30"/>
      <c r="M84" s="30"/>
      <c r="N84" s="30"/>
      <c r="O84" s="31"/>
      <c r="P84" s="32"/>
      <c r="Q84" s="5"/>
      <c r="R84" s="10"/>
    </row>
    <row r="85" spans="1:18">
      <c r="A85" s="20" t="str">
        <f t="shared" ref="A85:A90" si="39">IF(J85="","RESP","")</f>
        <v>RESP</v>
      </c>
      <c r="B85" s="20" t="str">
        <f t="shared" ref="B85:B90" si="40">IF(M85="","INIT","")</f>
        <v>INIT</v>
      </c>
      <c r="C85" s="20" t="str">
        <f t="shared" ref="C85:C90" si="41">IF(AND(J85="NO",O85=""),"CMTS","")</f>
        <v/>
      </c>
      <c r="D85" s="5"/>
      <c r="E85" s="28" t="s">
        <v>140</v>
      </c>
      <c r="F85" s="33" t="s">
        <v>141</v>
      </c>
      <c r="G85" s="30" t="s">
        <v>46</v>
      </c>
      <c r="H85" s="30" t="s">
        <v>107</v>
      </c>
      <c r="I85" s="30" t="s">
        <v>46</v>
      </c>
      <c r="J85" s="30"/>
      <c r="K85" s="30" t="s">
        <v>50</v>
      </c>
      <c r="L85" s="30"/>
      <c r="M85" s="30"/>
      <c r="N85" s="30"/>
      <c r="O85" s="31"/>
      <c r="P85" s="32"/>
      <c r="Q85" s="5"/>
      <c r="R85" s="10"/>
    </row>
    <row r="86" spans="1:18">
      <c r="A86" s="20" t="str">
        <f t="shared" si="39"/>
        <v>RESP</v>
      </c>
      <c r="B86" s="20" t="str">
        <f t="shared" si="40"/>
        <v>INIT</v>
      </c>
      <c r="C86" s="20" t="str">
        <f t="shared" si="41"/>
        <v/>
      </c>
      <c r="D86" s="5"/>
      <c r="E86" s="28" t="s">
        <v>142</v>
      </c>
      <c r="F86" s="33" t="s">
        <v>143</v>
      </c>
      <c r="G86" s="30" t="s">
        <v>46</v>
      </c>
      <c r="H86" s="30" t="s">
        <v>107</v>
      </c>
      <c r="I86" s="30" t="s">
        <v>46</v>
      </c>
      <c r="J86" s="30"/>
      <c r="K86" s="30" t="s">
        <v>50</v>
      </c>
      <c r="L86" s="30"/>
      <c r="M86" s="30"/>
      <c r="N86" s="30"/>
      <c r="O86" s="31"/>
      <c r="P86" s="32"/>
      <c r="Q86" s="5"/>
      <c r="R86" s="10"/>
    </row>
    <row r="87" spans="1:18">
      <c r="A87" s="20" t="str">
        <f t="shared" si="39"/>
        <v>RESP</v>
      </c>
      <c r="B87" s="20" t="str">
        <f t="shared" si="40"/>
        <v>INIT</v>
      </c>
      <c r="C87" s="20" t="str">
        <f t="shared" si="41"/>
        <v/>
      </c>
      <c r="D87" s="5"/>
      <c r="E87" s="28" t="s">
        <v>144</v>
      </c>
      <c r="F87" s="33" t="s">
        <v>145</v>
      </c>
      <c r="G87" s="30" t="s">
        <v>46</v>
      </c>
      <c r="H87" s="30" t="s">
        <v>107</v>
      </c>
      <c r="I87" s="30" t="s">
        <v>46</v>
      </c>
      <c r="J87" s="30"/>
      <c r="K87" s="30" t="s">
        <v>50</v>
      </c>
      <c r="L87" s="30"/>
      <c r="M87" s="30"/>
      <c r="N87" s="30"/>
      <c r="O87" s="31"/>
      <c r="P87" s="32"/>
      <c r="Q87" s="5"/>
      <c r="R87" s="10"/>
    </row>
    <row r="88" spans="1:18" ht="14.45" customHeight="1">
      <c r="A88" s="20" t="str">
        <f t="shared" si="39"/>
        <v>RESP</v>
      </c>
      <c r="B88" s="20" t="str">
        <f t="shared" si="40"/>
        <v>INIT</v>
      </c>
      <c r="C88" s="20" t="str">
        <f t="shared" si="41"/>
        <v/>
      </c>
      <c r="D88" s="5"/>
      <c r="E88" s="28" t="s">
        <v>146</v>
      </c>
      <c r="F88" s="33" t="s">
        <v>147</v>
      </c>
      <c r="G88" s="30" t="s">
        <v>46</v>
      </c>
      <c r="H88" s="30" t="s">
        <v>107</v>
      </c>
      <c r="I88" s="30" t="s">
        <v>46</v>
      </c>
      <c r="J88" s="30"/>
      <c r="K88" s="30" t="s">
        <v>50</v>
      </c>
      <c r="L88" s="30"/>
      <c r="M88" s="30"/>
      <c r="N88" s="30"/>
      <c r="O88" s="31"/>
      <c r="P88" s="32"/>
      <c r="Q88" s="5"/>
      <c r="R88" s="10"/>
    </row>
    <row r="89" spans="1:18" ht="14.45" customHeight="1">
      <c r="A89" s="20" t="str">
        <f t="shared" si="39"/>
        <v>RESP</v>
      </c>
      <c r="B89" s="20" t="str">
        <f t="shared" si="40"/>
        <v>INIT</v>
      </c>
      <c r="C89" s="20" t="str">
        <f t="shared" si="41"/>
        <v/>
      </c>
      <c r="D89" s="5"/>
      <c r="E89" s="28" t="s">
        <v>148</v>
      </c>
      <c r="F89" s="33" t="s">
        <v>149</v>
      </c>
      <c r="G89" s="30" t="s">
        <v>46</v>
      </c>
      <c r="H89" s="30" t="s">
        <v>107</v>
      </c>
      <c r="I89" s="30" t="s">
        <v>46</v>
      </c>
      <c r="J89" s="30"/>
      <c r="K89" s="30" t="s">
        <v>50</v>
      </c>
      <c r="L89" s="30"/>
      <c r="M89" s="30"/>
      <c r="N89" s="30"/>
      <c r="O89" s="31"/>
      <c r="P89" s="32"/>
      <c r="Q89" s="5"/>
      <c r="R89" s="10"/>
    </row>
    <row r="90" spans="1:18" ht="14.45" customHeight="1">
      <c r="A90" s="20" t="str">
        <f t="shared" si="39"/>
        <v>RESP</v>
      </c>
      <c r="B90" s="20" t="str">
        <f t="shared" si="40"/>
        <v>INIT</v>
      </c>
      <c r="C90" s="20" t="str">
        <f t="shared" si="41"/>
        <v/>
      </c>
      <c r="D90" s="5"/>
      <c r="E90" s="28" t="s">
        <v>150</v>
      </c>
      <c r="F90" s="33" t="s">
        <v>151</v>
      </c>
      <c r="G90" s="30" t="s">
        <v>46</v>
      </c>
      <c r="H90" s="30" t="s">
        <v>107</v>
      </c>
      <c r="I90" s="30" t="s">
        <v>46</v>
      </c>
      <c r="J90" s="30"/>
      <c r="K90" s="30" t="s">
        <v>47</v>
      </c>
      <c r="L90" s="30"/>
      <c r="M90" s="30"/>
      <c r="N90" s="30"/>
      <c r="O90" s="31"/>
      <c r="P90" s="32"/>
      <c r="Q90" s="5"/>
      <c r="R90" s="10"/>
    </row>
    <row r="91" spans="1:18">
      <c r="A91" s="20" t="str">
        <f t="shared" si="36"/>
        <v>RESP</v>
      </c>
      <c r="B91" s="20" t="str">
        <f t="shared" si="37"/>
        <v>INIT</v>
      </c>
      <c r="C91" s="20" t="str">
        <f t="shared" si="38"/>
        <v/>
      </c>
      <c r="D91" s="5"/>
      <c r="E91" s="28" t="s">
        <v>152</v>
      </c>
      <c r="F91" s="33" t="s">
        <v>153</v>
      </c>
      <c r="G91" s="30" t="s">
        <v>46</v>
      </c>
      <c r="H91" s="30" t="s">
        <v>107</v>
      </c>
      <c r="I91" s="30" t="s">
        <v>46</v>
      </c>
      <c r="J91" s="30"/>
      <c r="K91" s="30" t="s">
        <v>47</v>
      </c>
      <c r="L91" s="30"/>
      <c r="M91" s="30"/>
      <c r="N91" s="30"/>
      <c r="O91" s="31"/>
      <c r="P91" s="32"/>
      <c r="Q91" s="5"/>
      <c r="R91" s="10"/>
    </row>
    <row r="92" spans="1:18" ht="26.45">
      <c r="A92" s="20" t="str">
        <f t="shared" si="36"/>
        <v>RESP</v>
      </c>
      <c r="B92" s="20" t="str">
        <f t="shared" si="37"/>
        <v>INIT</v>
      </c>
      <c r="C92" s="20" t="str">
        <f t="shared" si="38"/>
        <v/>
      </c>
      <c r="D92" s="5"/>
      <c r="E92" s="28" t="s">
        <v>154</v>
      </c>
      <c r="F92" s="33" t="s">
        <v>155</v>
      </c>
      <c r="G92" s="30" t="s">
        <v>46</v>
      </c>
      <c r="H92" s="30" t="s">
        <v>107</v>
      </c>
      <c r="I92" s="30" t="s">
        <v>46</v>
      </c>
      <c r="J92" s="30"/>
      <c r="K92" s="30" t="s">
        <v>47</v>
      </c>
      <c r="L92" s="30"/>
      <c r="M92" s="30"/>
      <c r="N92" s="30"/>
      <c r="O92" s="31"/>
      <c r="P92" s="32"/>
      <c r="Q92" s="5"/>
      <c r="R92" s="33" t="s">
        <v>122</v>
      </c>
    </row>
    <row r="93" spans="1:18">
      <c r="A93" s="20" t="str">
        <f t="shared" si="36"/>
        <v>RESP</v>
      </c>
      <c r="B93" s="20" t="str">
        <f t="shared" si="37"/>
        <v>INIT</v>
      </c>
      <c r="C93" s="20" t="str">
        <f t="shared" si="38"/>
        <v/>
      </c>
      <c r="D93" s="5"/>
      <c r="E93" s="28" t="s">
        <v>156</v>
      </c>
      <c r="F93" s="33" t="s">
        <v>157</v>
      </c>
      <c r="G93" s="30" t="s">
        <v>46</v>
      </c>
      <c r="H93" s="30" t="s">
        <v>107</v>
      </c>
      <c r="I93" s="30" t="s">
        <v>46</v>
      </c>
      <c r="J93" s="30"/>
      <c r="K93" s="30" t="s">
        <v>47</v>
      </c>
      <c r="L93" s="30"/>
      <c r="M93" s="30"/>
      <c r="N93" s="30"/>
      <c r="O93" s="31"/>
      <c r="P93" s="32"/>
      <c r="Q93" s="5"/>
      <c r="R93" s="33" t="s">
        <v>158</v>
      </c>
    </row>
    <row r="94" spans="1:18" ht="26.45">
      <c r="A94" s="20" t="str">
        <f t="shared" si="36"/>
        <v>RESP</v>
      </c>
      <c r="B94" s="20" t="str">
        <f t="shared" si="37"/>
        <v>INIT</v>
      </c>
      <c r="C94" s="20" t="str">
        <f t="shared" si="38"/>
        <v/>
      </c>
      <c r="D94" s="5"/>
      <c r="E94" s="28" t="s">
        <v>159</v>
      </c>
      <c r="F94" s="33" t="s">
        <v>160</v>
      </c>
      <c r="G94" s="30" t="s">
        <v>46</v>
      </c>
      <c r="H94" s="30" t="s">
        <v>107</v>
      </c>
      <c r="I94" s="30" t="s">
        <v>46</v>
      </c>
      <c r="J94" s="30"/>
      <c r="K94" s="30" t="s">
        <v>50</v>
      </c>
      <c r="L94" s="30"/>
      <c r="M94" s="30"/>
      <c r="N94" s="30"/>
      <c r="O94" s="31"/>
      <c r="P94" s="32"/>
      <c r="Q94" s="5"/>
      <c r="R94" s="33" t="s">
        <v>122</v>
      </c>
    </row>
    <row r="95" spans="1:18" ht="26.45">
      <c r="A95" s="20" t="str">
        <f t="shared" si="36"/>
        <v>RESP</v>
      </c>
      <c r="B95" s="20" t="str">
        <f t="shared" si="37"/>
        <v>INIT</v>
      </c>
      <c r="C95" s="20" t="str">
        <f t="shared" si="38"/>
        <v/>
      </c>
      <c r="D95" s="5"/>
      <c r="E95" s="28" t="s">
        <v>161</v>
      </c>
      <c r="F95" s="33" t="s">
        <v>162</v>
      </c>
      <c r="G95" s="30" t="s">
        <v>46</v>
      </c>
      <c r="H95" s="30" t="s">
        <v>107</v>
      </c>
      <c r="I95" s="30" t="s">
        <v>46</v>
      </c>
      <c r="J95" s="30"/>
      <c r="K95" s="30" t="s">
        <v>50</v>
      </c>
      <c r="L95" s="30"/>
      <c r="M95" s="30"/>
      <c r="N95" s="30"/>
      <c r="O95" s="31"/>
      <c r="P95" s="32"/>
      <c r="Q95" s="5"/>
      <c r="R95" s="33" t="s">
        <v>122</v>
      </c>
    </row>
    <row r="96" spans="1:18" ht="26.45">
      <c r="A96" s="20" t="str">
        <f t="shared" si="36"/>
        <v>RESP</v>
      </c>
      <c r="B96" s="20" t="str">
        <f t="shared" si="37"/>
        <v>INIT</v>
      </c>
      <c r="C96" s="20" t="str">
        <f t="shared" si="38"/>
        <v/>
      </c>
      <c r="D96" s="5"/>
      <c r="E96" s="28" t="s">
        <v>163</v>
      </c>
      <c r="F96" s="33" t="s">
        <v>164</v>
      </c>
      <c r="G96" s="30" t="s">
        <v>46</v>
      </c>
      <c r="H96" s="30" t="s">
        <v>107</v>
      </c>
      <c r="I96" s="30" t="s">
        <v>46</v>
      </c>
      <c r="J96" s="30"/>
      <c r="K96" s="30" t="s">
        <v>50</v>
      </c>
      <c r="L96" s="30"/>
      <c r="M96" s="30"/>
      <c r="N96" s="30"/>
      <c r="O96" s="31"/>
      <c r="P96" s="32"/>
      <c r="Q96" s="5"/>
      <c r="R96" s="33" t="s">
        <v>122</v>
      </c>
    </row>
    <row r="97" spans="1:18" ht="26.45">
      <c r="A97" s="20" t="str">
        <f t="shared" si="36"/>
        <v>RESP</v>
      </c>
      <c r="B97" s="20" t="str">
        <f t="shared" si="37"/>
        <v>INIT</v>
      </c>
      <c r="C97" s="20" t="str">
        <f t="shared" si="38"/>
        <v/>
      </c>
      <c r="D97" s="5"/>
      <c r="E97" s="28" t="s">
        <v>165</v>
      </c>
      <c r="F97" s="33" t="s">
        <v>166</v>
      </c>
      <c r="G97" s="30" t="s">
        <v>46</v>
      </c>
      <c r="H97" s="30" t="s">
        <v>107</v>
      </c>
      <c r="I97" s="30" t="s">
        <v>46</v>
      </c>
      <c r="J97" s="30"/>
      <c r="K97" s="30" t="s">
        <v>50</v>
      </c>
      <c r="L97" s="30"/>
      <c r="M97" s="30"/>
      <c r="N97" s="30"/>
      <c r="O97" s="31"/>
      <c r="P97" s="32"/>
      <c r="Q97" s="5"/>
      <c r="R97" s="33" t="s">
        <v>122</v>
      </c>
    </row>
    <row r="98" spans="1:18" ht="26.45">
      <c r="A98" s="20" t="str">
        <f t="shared" si="36"/>
        <v>RESP</v>
      </c>
      <c r="B98" s="20" t="str">
        <f t="shared" si="37"/>
        <v>INIT</v>
      </c>
      <c r="C98" s="20" t="str">
        <f t="shared" si="38"/>
        <v/>
      </c>
      <c r="D98" s="5"/>
      <c r="E98" s="28" t="s">
        <v>167</v>
      </c>
      <c r="F98" s="33" t="s">
        <v>168</v>
      </c>
      <c r="G98" s="30" t="s">
        <v>46</v>
      </c>
      <c r="H98" s="30" t="s">
        <v>107</v>
      </c>
      <c r="I98" s="30" t="s">
        <v>46</v>
      </c>
      <c r="J98" s="30"/>
      <c r="K98" s="30" t="s">
        <v>50</v>
      </c>
      <c r="L98" s="30"/>
      <c r="M98" s="30"/>
      <c r="N98" s="30"/>
      <c r="O98" s="31"/>
      <c r="P98" s="32"/>
      <c r="Q98" s="5"/>
      <c r="R98" s="33" t="s">
        <v>122</v>
      </c>
    </row>
    <row r="99" spans="1:18" ht="26.45">
      <c r="A99" s="20" t="str">
        <f t="shared" si="36"/>
        <v>RESP</v>
      </c>
      <c r="B99" s="20" t="str">
        <f t="shared" si="37"/>
        <v>INIT</v>
      </c>
      <c r="C99" s="20" t="str">
        <f t="shared" si="38"/>
        <v/>
      </c>
      <c r="D99" s="5"/>
      <c r="E99" s="28" t="s">
        <v>169</v>
      </c>
      <c r="F99" s="33" t="s">
        <v>170</v>
      </c>
      <c r="G99" s="30" t="s">
        <v>46</v>
      </c>
      <c r="H99" s="30" t="s">
        <v>107</v>
      </c>
      <c r="I99" s="30" t="s">
        <v>46</v>
      </c>
      <c r="J99" s="30"/>
      <c r="K99" s="30" t="s">
        <v>47</v>
      </c>
      <c r="L99" s="30"/>
      <c r="M99" s="30"/>
      <c r="N99" s="30"/>
      <c r="O99" s="31"/>
      <c r="P99" s="32"/>
      <c r="Q99" s="5"/>
      <c r="R99" s="33" t="s">
        <v>122</v>
      </c>
    </row>
    <row r="100" spans="1:18" ht="26.45">
      <c r="A100" s="20" t="str">
        <f t="shared" si="36"/>
        <v>RESP</v>
      </c>
      <c r="B100" s="20" t="str">
        <f t="shared" si="37"/>
        <v>INIT</v>
      </c>
      <c r="C100" s="20" t="str">
        <f t="shared" si="38"/>
        <v/>
      </c>
      <c r="D100" s="5"/>
      <c r="E100" s="28" t="s">
        <v>171</v>
      </c>
      <c r="F100" s="33" t="s">
        <v>172</v>
      </c>
      <c r="G100" s="30" t="s">
        <v>46</v>
      </c>
      <c r="H100" s="30" t="s">
        <v>107</v>
      </c>
      <c r="I100" s="30" t="s">
        <v>46</v>
      </c>
      <c r="J100" s="30"/>
      <c r="K100" s="30" t="s">
        <v>47</v>
      </c>
      <c r="L100" s="30"/>
      <c r="M100" s="30"/>
      <c r="N100" s="30"/>
      <c r="O100" s="31"/>
      <c r="P100" s="32"/>
      <c r="Q100" s="5"/>
      <c r="R100" s="33" t="s">
        <v>122</v>
      </c>
    </row>
    <row r="101" spans="1:18">
      <c r="A101" s="4"/>
      <c r="B101" s="4"/>
      <c r="C101" s="4"/>
      <c r="D101" s="17"/>
      <c r="E101" s="17"/>
      <c r="F101" s="17"/>
      <c r="G101" s="17"/>
      <c r="H101" s="17"/>
      <c r="I101" s="17"/>
      <c r="J101" s="17"/>
      <c r="K101" s="17"/>
      <c r="L101" s="17"/>
      <c r="M101" s="17"/>
      <c r="N101" s="17"/>
      <c r="O101" s="17"/>
      <c r="P101" s="1"/>
      <c r="Q101" s="17"/>
      <c r="R101" s="19"/>
    </row>
    <row r="102" spans="1:18">
      <c r="A102" s="4"/>
      <c r="B102" s="4"/>
      <c r="C102" s="4"/>
      <c r="D102" s="17"/>
      <c r="E102" s="17"/>
      <c r="F102" s="17"/>
      <c r="G102" s="17"/>
      <c r="H102" s="17"/>
      <c r="I102" s="17"/>
      <c r="J102" s="17"/>
      <c r="K102" s="17"/>
      <c r="L102" s="17"/>
      <c r="M102" s="17"/>
      <c r="N102" s="17"/>
      <c r="O102" s="17"/>
      <c r="P102" s="1"/>
      <c r="Q102" s="17"/>
      <c r="R102" s="19"/>
    </row>
    <row r="103" spans="1:18" ht="27.6">
      <c r="A103" s="12" t="s">
        <v>32</v>
      </c>
      <c r="B103" s="13"/>
      <c r="C103" s="13"/>
      <c r="D103" s="2"/>
      <c r="E103" s="24" t="s">
        <v>173</v>
      </c>
      <c r="F103" s="34"/>
      <c r="G103" s="26" t="s">
        <v>34</v>
      </c>
      <c r="H103" s="26" t="s">
        <v>35</v>
      </c>
      <c r="I103" s="26" t="s">
        <v>36</v>
      </c>
      <c r="J103" s="26" t="s">
        <v>37</v>
      </c>
      <c r="K103" s="26" t="s">
        <v>38</v>
      </c>
      <c r="L103" s="26" t="s">
        <v>39</v>
      </c>
      <c r="M103" s="26" t="s">
        <v>40</v>
      </c>
      <c r="N103" s="26" t="s">
        <v>41</v>
      </c>
      <c r="O103" s="26" t="s">
        <v>1</v>
      </c>
      <c r="P103" s="27" t="s">
        <v>104</v>
      </c>
      <c r="Q103" s="2"/>
      <c r="R103" s="9" t="s">
        <v>43</v>
      </c>
    </row>
    <row r="104" spans="1:18" ht="26.45">
      <c r="A104" s="20" t="str">
        <f t="shared" ref="A104:A110" si="42">IF(J104="","RESP","")</f>
        <v>RESP</v>
      </c>
      <c r="B104" s="20" t="str">
        <f t="shared" ref="B104:B110" si="43">IF(M104="","INIT","")</f>
        <v>INIT</v>
      </c>
      <c r="C104" s="20" t="str">
        <f t="shared" ref="C104:C110" si="44">IF(AND(J104="NO",O104=""),"CMTS","")</f>
        <v/>
      </c>
      <c r="D104" s="5"/>
      <c r="E104" s="28" t="s">
        <v>174</v>
      </c>
      <c r="F104" s="33" t="s">
        <v>175</v>
      </c>
      <c r="G104" s="30" t="s">
        <v>46</v>
      </c>
      <c r="H104" s="30" t="s">
        <v>107</v>
      </c>
      <c r="I104" s="30" t="s">
        <v>46</v>
      </c>
      <c r="J104" s="30"/>
      <c r="K104" s="30" t="s">
        <v>47</v>
      </c>
      <c r="L104" s="30"/>
      <c r="M104" s="30"/>
      <c r="N104" s="30"/>
      <c r="O104" s="31"/>
      <c r="P104" s="32"/>
      <c r="Q104" s="5"/>
      <c r="R104" s="33" t="s">
        <v>122</v>
      </c>
    </row>
    <row r="105" spans="1:18" ht="26.45">
      <c r="A105" s="20" t="str">
        <f t="shared" si="42"/>
        <v>RESP</v>
      </c>
      <c r="B105" s="20" t="str">
        <f t="shared" si="43"/>
        <v>INIT</v>
      </c>
      <c r="C105" s="20" t="str">
        <f t="shared" si="44"/>
        <v/>
      </c>
      <c r="D105" s="5"/>
      <c r="E105" s="28" t="s">
        <v>176</v>
      </c>
      <c r="F105" s="33" t="s">
        <v>177</v>
      </c>
      <c r="G105" s="30" t="s">
        <v>46</v>
      </c>
      <c r="H105" s="30" t="s">
        <v>107</v>
      </c>
      <c r="I105" s="30" t="s">
        <v>46</v>
      </c>
      <c r="J105" s="30"/>
      <c r="K105" s="30" t="s">
        <v>50</v>
      </c>
      <c r="L105" s="30"/>
      <c r="M105" s="30"/>
      <c r="N105" s="30"/>
      <c r="O105" s="31"/>
      <c r="P105" s="32"/>
      <c r="Q105" s="5"/>
      <c r="R105" s="33" t="s">
        <v>122</v>
      </c>
    </row>
    <row r="106" spans="1:18" ht="26.45">
      <c r="A106" s="20" t="str">
        <f t="shared" si="42"/>
        <v>RESP</v>
      </c>
      <c r="B106" s="20" t="str">
        <f t="shared" si="43"/>
        <v>INIT</v>
      </c>
      <c r="C106" s="20" t="str">
        <f t="shared" si="44"/>
        <v/>
      </c>
      <c r="D106" s="5"/>
      <c r="E106" s="28" t="s">
        <v>178</v>
      </c>
      <c r="F106" s="33" t="s">
        <v>179</v>
      </c>
      <c r="G106" s="30" t="s">
        <v>46</v>
      </c>
      <c r="H106" s="30" t="s">
        <v>107</v>
      </c>
      <c r="I106" s="30" t="s">
        <v>46</v>
      </c>
      <c r="J106" s="30"/>
      <c r="K106" s="30" t="s">
        <v>50</v>
      </c>
      <c r="L106" s="30"/>
      <c r="M106" s="30"/>
      <c r="N106" s="30"/>
      <c r="O106" s="31"/>
      <c r="P106" s="32"/>
      <c r="Q106" s="5"/>
      <c r="R106" s="33" t="s">
        <v>122</v>
      </c>
    </row>
    <row r="107" spans="1:18" ht="26.45">
      <c r="A107" s="20" t="str">
        <f t="shared" si="42"/>
        <v>RESP</v>
      </c>
      <c r="B107" s="20" t="str">
        <f t="shared" si="43"/>
        <v>INIT</v>
      </c>
      <c r="C107" s="20" t="str">
        <f t="shared" si="44"/>
        <v/>
      </c>
      <c r="D107" s="5"/>
      <c r="E107" s="28" t="s">
        <v>180</v>
      </c>
      <c r="F107" s="33" t="s">
        <v>181</v>
      </c>
      <c r="G107" s="30" t="s">
        <v>46</v>
      </c>
      <c r="H107" s="30" t="s">
        <v>107</v>
      </c>
      <c r="I107" s="30" t="s">
        <v>46</v>
      </c>
      <c r="J107" s="30"/>
      <c r="K107" s="30" t="s">
        <v>47</v>
      </c>
      <c r="L107" s="30"/>
      <c r="M107" s="30"/>
      <c r="N107" s="30"/>
      <c r="O107" s="31"/>
      <c r="P107" s="32"/>
      <c r="Q107" s="5"/>
      <c r="R107" s="33" t="s">
        <v>122</v>
      </c>
    </row>
    <row r="108" spans="1:18" ht="26.45">
      <c r="A108" s="20" t="str">
        <f t="shared" si="42"/>
        <v>RESP</v>
      </c>
      <c r="B108" s="20" t="str">
        <f t="shared" si="43"/>
        <v>INIT</v>
      </c>
      <c r="C108" s="20" t="str">
        <f t="shared" si="44"/>
        <v/>
      </c>
      <c r="D108" s="5"/>
      <c r="E108" s="28" t="s">
        <v>182</v>
      </c>
      <c r="F108" s="33" t="s">
        <v>183</v>
      </c>
      <c r="G108" s="30" t="s">
        <v>46</v>
      </c>
      <c r="H108" s="30" t="s">
        <v>107</v>
      </c>
      <c r="I108" s="30" t="s">
        <v>46</v>
      </c>
      <c r="J108" s="30"/>
      <c r="K108" s="30" t="s">
        <v>50</v>
      </c>
      <c r="L108" s="30"/>
      <c r="M108" s="30"/>
      <c r="N108" s="30"/>
      <c r="O108" s="31"/>
      <c r="P108" s="32"/>
      <c r="Q108" s="5"/>
      <c r="R108" s="33" t="s">
        <v>122</v>
      </c>
    </row>
    <row r="109" spans="1:18" ht="26.45">
      <c r="A109" s="20" t="str">
        <f t="shared" si="42"/>
        <v>RESP</v>
      </c>
      <c r="B109" s="20" t="str">
        <f t="shared" si="43"/>
        <v>INIT</v>
      </c>
      <c r="C109" s="20" t="str">
        <f t="shared" si="44"/>
        <v/>
      </c>
      <c r="D109" s="5"/>
      <c r="E109" s="28" t="s">
        <v>184</v>
      </c>
      <c r="F109" s="33" t="s">
        <v>185</v>
      </c>
      <c r="G109" s="30" t="s">
        <v>46</v>
      </c>
      <c r="H109" s="30" t="s">
        <v>107</v>
      </c>
      <c r="I109" s="30" t="s">
        <v>46</v>
      </c>
      <c r="J109" s="30"/>
      <c r="K109" s="30" t="s">
        <v>50</v>
      </c>
      <c r="L109" s="30"/>
      <c r="M109" s="30"/>
      <c r="N109" s="30"/>
      <c r="O109" s="31"/>
      <c r="P109" s="32"/>
      <c r="Q109" s="5"/>
      <c r="R109" s="33" t="s">
        <v>122</v>
      </c>
    </row>
    <row r="110" spans="1:18" ht="26.45">
      <c r="A110" s="20" t="str">
        <f t="shared" si="42"/>
        <v>RESP</v>
      </c>
      <c r="B110" s="20" t="str">
        <f t="shared" si="43"/>
        <v>INIT</v>
      </c>
      <c r="C110" s="20" t="str">
        <f t="shared" si="44"/>
        <v/>
      </c>
      <c r="D110" s="5"/>
      <c r="E110" s="28" t="s">
        <v>186</v>
      </c>
      <c r="F110" s="33" t="s">
        <v>187</v>
      </c>
      <c r="G110" s="30" t="s">
        <v>46</v>
      </c>
      <c r="H110" s="30" t="s">
        <v>107</v>
      </c>
      <c r="I110" s="30" t="s">
        <v>46</v>
      </c>
      <c r="J110" s="30"/>
      <c r="K110" s="30" t="s">
        <v>50</v>
      </c>
      <c r="L110" s="30"/>
      <c r="M110" s="30"/>
      <c r="N110" s="30"/>
      <c r="O110" s="31"/>
      <c r="P110" s="32"/>
      <c r="Q110" s="5"/>
      <c r="R110" s="33" t="s">
        <v>122</v>
      </c>
    </row>
    <row r="111" spans="1:18">
      <c r="A111" s="20" t="e">
        <f>IF(#REF!="","RESP","")</f>
        <v>#REF!</v>
      </c>
      <c r="B111" s="20" t="e">
        <f>IF(#REF!="","INIT","")</f>
        <v>#REF!</v>
      </c>
      <c r="C111" s="20" t="e">
        <f>IF(AND(#REF!="NO",#REF!=""),"CMTS","")</f>
        <v>#REF!</v>
      </c>
      <c r="D111" s="5"/>
      <c r="E111" s="28" t="s">
        <v>188</v>
      </c>
      <c r="F111" s="59" t="s">
        <v>189</v>
      </c>
      <c r="G111" s="30" t="s">
        <v>46</v>
      </c>
      <c r="H111" s="30" t="s">
        <v>107</v>
      </c>
      <c r="I111" s="30" t="s">
        <v>46</v>
      </c>
      <c r="J111" s="30"/>
      <c r="K111" s="30" t="s">
        <v>50</v>
      </c>
      <c r="L111" s="30"/>
      <c r="M111" s="30"/>
      <c r="N111" s="30"/>
      <c r="O111" s="31"/>
      <c r="P111" s="32"/>
      <c r="Q111" s="5"/>
      <c r="R111" s="10"/>
    </row>
    <row r="112" spans="1:18">
      <c r="A112" s="4"/>
      <c r="B112" s="4"/>
      <c r="C112" s="4"/>
      <c r="D112" s="17"/>
      <c r="E112" s="17"/>
      <c r="F112" s="17"/>
      <c r="G112" s="17"/>
      <c r="H112" s="17"/>
      <c r="I112" s="17"/>
      <c r="J112" s="17"/>
      <c r="K112" s="17"/>
      <c r="L112" s="17"/>
      <c r="M112" s="17"/>
      <c r="N112" s="17"/>
      <c r="O112" s="17"/>
      <c r="P112" s="1"/>
      <c r="Q112" s="17"/>
      <c r="R112" s="19"/>
    </row>
    <row r="113" spans="1:18">
      <c r="A113" s="4"/>
      <c r="B113" s="4"/>
      <c r="C113" s="4"/>
      <c r="D113" s="17"/>
      <c r="E113" s="17"/>
      <c r="F113" s="17"/>
      <c r="G113" s="17"/>
      <c r="H113" s="17"/>
      <c r="I113" s="17"/>
      <c r="J113" s="17"/>
      <c r="K113" s="17"/>
      <c r="L113" s="17"/>
      <c r="M113" s="17"/>
      <c r="N113" s="17"/>
      <c r="O113" s="17"/>
      <c r="P113" s="1"/>
      <c r="Q113" s="17"/>
      <c r="R113" s="19"/>
    </row>
    <row r="114" spans="1:18" ht="27.6">
      <c r="A114" s="12" t="s">
        <v>32</v>
      </c>
      <c r="B114" s="13"/>
      <c r="C114" s="13"/>
      <c r="D114" s="2"/>
      <c r="E114" s="24" t="s">
        <v>190</v>
      </c>
      <c r="F114" s="25"/>
      <c r="G114" s="26" t="s">
        <v>34</v>
      </c>
      <c r="H114" s="26" t="s">
        <v>35</v>
      </c>
      <c r="I114" s="26" t="s">
        <v>36</v>
      </c>
      <c r="J114" s="26" t="s">
        <v>37</v>
      </c>
      <c r="K114" s="26" t="s">
        <v>38</v>
      </c>
      <c r="L114" s="26" t="s">
        <v>39</v>
      </c>
      <c r="M114" s="26" t="s">
        <v>40</v>
      </c>
      <c r="N114" s="26" t="s">
        <v>41</v>
      </c>
      <c r="O114" s="26" t="s">
        <v>1</v>
      </c>
      <c r="P114" s="27" t="s">
        <v>42</v>
      </c>
      <c r="Q114" s="2"/>
      <c r="R114" s="9" t="s">
        <v>43</v>
      </c>
    </row>
    <row r="115" spans="1:18">
      <c r="A115" s="20" t="str">
        <f t="shared" ref="A115:A120" si="45">IF(J115="","RESP","")</f>
        <v>RESP</v>
      </c>
      <c r="B115" s="20" t="str">
        <f t="shared" ref="B115:B120" si="46">IF(M115="","INIT","")</f>
        <v>INIT</v>
      </c>
      <c r="C115" s="20" t="str">
        <f t="shared" ref="C115:C120" si="47">IF(AND(J115="NO",O115=""),"CMTS","")</f>
        <v/>
      </c>
      <c r="D115" s="2"/>
      <c r="E115" s="28" t="s">
        <v>191</v>
      </c>
      <c r="F115" s="29" t="s">
        <v>192</v>
      </c>
      <c r="G115" s="30" t="s">
        <v>46</v>
      </c>
      <c r="H115" s="30" t="s">
        <v>46</v>
      </c>
      <c r="I115" s="30" t="s">
        <v>46</v>
      </c>
      <c r="J115" s="30"/>
      <c r="K115" s="30" t="s">
        <v>50</v>
      </c>
      <c r="L115" s="30"/>
      <c r="M115" s="30"/>
      <c r="N115" s="30"/>
      <c r="O115" s="31"/>
      <c r="P115" s="32"/>
      <c r="Q115" s="2"/>
      <c r="R115" s="10"/>
    </row>
    <row r="116" spans="1:18" ht="26.45">
      <c r="A116" s="20" t="str">
        <f t="shared" si="45"/>
        <v>RESP</v>
      </c>
      <c r="B116" s="20" t="str">
        <f t="shared" si="46"/>
        <v>INIT</v>
      </c>
      <c r="C116" s="20" t="str">
        <f t="shared" si="47"/>
        <v/>
      </c>
      <c r="D116" s="2"/>
      <c r="E116" s="28" t="s">
        <v>193</v>
      </c>
      <c r="F116" s="33" t="s">
        <v>194</v>
      </c>
      <c r="G116" s="30" t="s">
        <v>46</v>
      </c>
      <c r="H116" s="30" t="s">
        <v>46</v>
      </c>
      <c r="I116" s="30" t="s">
        <v>46</v>
      </c>
      <c r="J116" s="30"/>
      <c r="K116" s="30" t="s">
        <v>47</v>
      </c>
      <c r="L116" s="30"/>
      <c r="M116" s="30"/>
      <c r="N116" s="30"/>
      <c r="O116" s="31"/>
      <c r="P116" s="32"/>
      <c r="Q116" s="2"/>
      <c r="R116" s="10"/>
    </row>
    <row r="117" spans="1:18">
      <c r="A117" s="20" t="str">
        <f t="shared" si="45"/>
        <v>RESP</v>
      </c>
      <c r="B117" s="20" t="str">
        <f t="shared" si="46"/>
        <v>INIT</v>
      </c>
      <c r="C117" s="20" t="str">
        <f t="shared" si="47"/>
        <v/>
      </c>
      <c r="D117" s="2"/>
      <c r="E117" s="28" t="s">
        <v>195</v>
      </c>
      <c r="F117" s="29" t="s">
        <v>196</v>
      </c>
      <c r="G117" s="30" t="s">
        <v>46</v>
      </c>
      <c r="H117" s="30" t="s">
        <v>46</v>
      </c>
      <c r="I117" s="30" t="s">
        <v>46</v>
      </c>
      <c r="J117" s="30"/>
      <c r="K117" s="30" t="s">
        <v>50</v>
      </c>
      <c r="L117" s="30"/>
      <c r="M117" s="30"/>
      <c r="N117" s="30"/>
      <c r="O117" s="31"/>
      <c r="P117" s="32"/>
      <c r="Q117" s="2"/>
      <c r="R117" s="10"/>
    </row>
    <row r="118" spans="1:18">
      <c r="A118" s="20" t="str">
        <f t="shared" si="45"/>
        <v>RESP</v>
      </c>
      <c r="B118" s="20" t="str">
        <f t="shared" si="46"/>
        <v>INIT</v>
      </c>
      <c r="C118" s="20" t="str">
        <f t="shared" si="47"/>
        <v/>
      </c>
      <c r="D118" s="5"/>
      <c r="E118" s="28" t="s">
        <v>197</v>
      </c>
      <c r="F118" s="29" t="s">
        <v>198</v>
      </c>
      <c r="G118" s="30" t="s">
        <v>46</v>
      </c>
      <c r="H118" s="30" t="s">
        <v>46</v>
      </c>
      <c r="I118" s="30" t="s">
        <v>46</v>
      </c>
      <c r="J118" s="30"/>
      <c r="K118" s="30" t="s">
        <v>50</v>
      </c>
      <c r="L118" s="30"/>
      <c r="M118" s="30"/>
      <c r="N118" s="30"/>
      <c r="O118" s="31"/>
      <c r="P118" s="32"/>
      <c r="Q118" s="5"/>
      <c r="R118" s="10"/>
    </row>
    <row r="119" spans="1:18">
      <c r="A119" s="20" t="str">
        <f t="shared" si="45"/>
        <v>RESP</v>
      </c>
      <c r="B119" s="20" t="str">
        <f t="shared" si="46"/>
        <v>INIT</v>
      </c>
      <c r="C119" s="20" t="str">
        <f t="shared" si="47"/>
        <v/>
      </c>
      <c r="D119" s="5"/>
      <c r="E119" s="28" t="s">
        <v>199</v>
      </c>
      <c r="F119" s="29" t="s">
        <v>200</v>
      </c>
      <c r="G119" s="30" t="s">
        <v>46</v>
      </c>
      <c r="H119" s="30" t="s">
        <v>46</v>
      </c>
      <c r="I119" s="30" t="s">
        <v>46</v>
      </c>
      <c r="J119" s="30"/>
      <c r="K119" s="30" t="s">
        <v>50</v>
      </c>
      <c r="L119" s="30"/>
      <c r="M119" s="30"/>
      <c r="N119" s="30"/>
      <c r="O119" s="31"/>
      <c r="P119" s="32"/>
      <c r="Q119" s="5"/>
      <c r="R119" s="10"/>
    </row>
    <row r="120" spans="1:18">
      <c r="A120" s="20" t="str">
        <f t="shared" si="45"/>
        <v>RESP</v>
      </c>
      <c r="B120" s="20" t="str">
        <f t="shared" si="46"/>
        <v>INIT</v>
      </c>
      <c r="C120" s="20" t="str">
        <f t="shared" si="47"/>
        <v/>
      </c>
      <c r="D120" s="5"/>
      <c r="E120" s="28" t="s">
        <v>201</v>
      </c>
      <c r="F120" s="29" t="s">
        <v>202</v>
      </c>
      <c r="G120" s="30" t="s">
        <v>46</v>
      </c>
      <c r="H120" s="30" t="s">
        <v>46</v>
      </c>
      <c r="I120" s="30" t="s">
        <v>46</v>
      </c>
      <c r="J120" s="30"/>
      <c r="K120" s="30" t="s">
        <v>50</v>
      </c>
      <c r="L120" s="30"/>
      <c r="M120" s="30"/>
      <c r="N120" s="30"/>
      <c r="O120" s="31"/>
      <c r="P120" s="32"/>
      <c r="Q120" s="5"/>
      <c r="R120" s="10"/>
    </row>
    <row r="121" spans="1:18">
      <c r="A121" s="20" t="str">
        <f t="shared" ref="A121" si="48">IF(J121="","RESP","")</f>
        <v>RESP</v>
      </c>
      <c r="B121" s="20" t="str">
        <f t="shared" ref="B121" si="49">IF(M121="","INIT","")</f>
        <v>INIT</v>
      </c>
      <c r="C121" s="20" t="str">
        <f t="shared" ref="C121" si="50">IF(AND(J121="NO",O121=""),"CMTS","")</f>
        <v/>
      </c>
      <c r="D121" s="5"/>
      <c r="E121" s="28" t="s">
        <v>203</v>
      </c>
      <c r="F121" s="29" t="s">
        <v>204</v>
      </c>
      <c r="G121" s="30" t="s">
        <v>46</v>
      </c>
      <c r="H121" s="30" t="s">
        <v>46</v>
      </c>
      <c r="I121" s="30" t="s">
        <v>46</v>
      </c>
      <c r="J121" s="30"/>
      <c r="K121" s="30" t="s">
        <v>50</v>
      </c>
      <c r="L121" s="30"/>
      <c r="M121" s="30"/>
      <c r="N121" s="30"/>
      <c r="O121" s="31"/>
      <c r="P121" s="32"/>
      <c r="Q121" s="5"/>
      <c r="R121" s="10"/>
    </row>
    <row r="122" spans="1:18">
      <c r="A122" s="20" t="str">
        <f t="shared" ref="A122" si="51">IF(J122="","RESP","")</f>
        <v>RESP</v>
      </c>
      <c r="B122" s="20" t="str">
        <f t="shared" ref="B122" si="52">IF(M122="","INIT","")</f>
        <v>INIT</v>
      </c>
      <c r="C122" s="20" t="str">
        <f t="shared" ref="C122" si="53">IF(AND(J122="NO",O122=""),"CMTS","")</f>
        <v/>
      </c>
      <c r="D122" s="5"/>
      <c r="E122" s="28" t="s">
        <v>205</v>
      </c>
      <c r="F122" s="29" t="s">
        <v>206</v>
      </c>
      <c r="G122" s="30" t="s">
        <v>46</v>
      </c>
      <c r="H122" s="30" t="s">
        <v>46</v>
      </c>
      <c r="I122" s="30" t="s">
        <v>46</v>
      </c>
      <c r="J122" s="30"/>
      <c r="K122" s="30" t="s">
        <v>50</v>
      </c>
      <c r="L122" s="30"/>
      <c r="M122" s="30"/>
      <c r="N122" s="30"/>
      <c r="O122" s="31"/>
      <c r="P122" s="32"/>
      <c r="Q122" s="5"/>
      <c r="R122" s="10"/>
    </row>
    <row r="123" spans="1:18">
      <c r="A123" s="4"/>
      <c r="B123" s="4"/>
      <c r="C123" s="4"/>
      <c r="D123" s="5"/>
      <c r="E123" s="6"/>
      <c r="F123" s="21"/>
      <c r="G123" s="21"/>
      <c r="H123" s="21"/>
      <c r="I123" s="21"/>
      <c r="J123" s="21"/>
      <c r="K123" s="21"/>
      <c r="L123" s="21"/>
      <c r="M123" s="21"/>
      <c r="N123" s="21"/>
      <c r="O123" s="21"/>
      <c r="P123" s="21"/>
      <c r="Q123" s="5"/>
      <c r="R123" s="8"/>
    </row>
    <row r="124" spans="1:18">
      <c r="A124" s="4"/>
      <c r="B124" s="4"/>
      <c r="C124" s="4"/>
      <c r="D124" s="5"/>
      <c r="E124" s="6"/>
      <c r="F124" s="21"/>
      <c r="G124" s="21"/>
      <c r="H124" s="21"/>
      <c r="I124" s="21"/>
      <c r="J124" s="21"/>
      <c r="K124" s="21"/>
      <c r="L124" s="21"/>
      <c r="M124" s="21"/>
      <c r="N124" s="21"/>
      <c r="O124" s="21"/>
      <c r="P124" s="21"/>
      <c r="Q124" s="5"/>
      <c r="R124" s="8"/>
    </row>
    <row r="125" spans="1:18" ht="27.6">
      <c r="A125" s="12" t="s">
        <v>32</v>
      </c>
      <c r="B125" s="13"/>
      <c r="C125" s="13"/>
      <c r="D125" s="2"/>
      <c r="E125" s="24" t="s">
        <v>207</v>
      </c>
      <c r="F125" s="34"/>
      <c r="G125" s="26" t="s">
        <v>34</v>
      </c>
      <c r="H125" s="26" t="s">
        <v>35</v>
      </c>
      <c r="I125" s="26" t="s">
        <v>36</v>
      </c>
      <c r="J125" s="26" t="s">
        <v>37</v>
      </c>
      <c r="K125" s="26" t="s">
        <v>38</v>
      </c>
      <c r="L125" s="26" t="s">
        <v>39</v>
      </c>
      <c r="M125" s="26" t="s">
        <v>40</v>
      </c>
      <c r="N125" s="26" t="s">
        <v>41</v>
      </c>
      <c r="O125" s="26" t="s">
        <v>1</v>
      </c>
      <c r="P125" s="27" t="s">
        <v>104</v>
      </c>
      <c r="Q125" s="2"/>
      <c r="R125" s="9" t="s">
        <v>43</v>
      </c>
    </row>
    <row r="126" spans="1:18">
      <c r="A126" s="20" t="str">
        <f t="shared" ref="A126:A130" si="54">IF(J126="","RESP","")</f>
        <v>RESP</v>
      </c>
      <c r="B126" s="20" t="str">
        <f t="shared" ref="B126:B130" si="55">IF(M126="","INIT","")</f>
        <v>INIT</v>
      </c>
      <c r="C126" s="20" t="str">
        <f t="shared" ref="C126:C130" si="56">IF(AND(J126="NO",O126=""),"CMTS","")</f>
        <v/>
      </c>
      <c r="D126" s="5"/>
      <c r="E126" s="28" t="s">
        <v>208</v>
      </c>
      <c r="F126" s="35" t="s">
        <v>209</v>
      </c>
      <c r="G126" s="30" t="s">
        <v>46</v>
      </c>
      <c r="H126" s="30" t="s">
        <v>46</v>
      </c>
      <c r="I126" s="30" t="s">
        <v>46</v>
      </c>
      <c r="J126" s="30"/>
      <c r="K126" s="30" t="s">
        <v>47</v>
      </c>
      <c r="L126" s="30"/>
      <c r="M126" s="30"/>
      <c r="N126" s="30"/>
      <c r="O126" s="31"/>
      <c r="P126" s="32"/>
      <c r="Q126" s="5"/>
      <c r="R126" s="10"/>
    </row>
    <row r="127" spans="1:18">
      <c r="A127" s="20" t="str">
        <f t="shared" si="54"/>
        <v>RESP</v>
      </c>
      <c r="B127" s="20" t="str">
        <f t="shared" si="55"/>
        <v>INIT</v>
      </c>
      <c r="C127" s="20" t="str">
        <f t="shared" si="56"/>
        <v/>
      </c>
      <c r="D127" s="5"/>
      <c r="E127" s="28" t="s">
        <v>210</v>
      </c>
      <c r="F127" s="35" t="s">
        <v>211</v>
      </c>
      <c r="G127" s="30" t="s">
        <v>46</v>
      </c>
      <c r="H127" s="30" t="s">
        <v>46</v>
      </c>
      <c r="I127" s="30" t="s">
        <v>46</v>
      </c>
      <c r="J127" s="30"/>
      <c r="K127" s="30" t="s">
        <v>50</v>
      </c>
      <c r="L127" s="30"/>
      <c r="M127" s="30"/>
      <c r="N127" s="30"/>
      <c r="O127" s="31"/>
      <c r="P127" s="32"/>
      <c r="Q127" s="5"/>
      <c r="R127" s="10"/>
    </row>
    <row r="128" spans="1:18">
      <c r="A128" s="20" t="str">
        <f t="shared" si="54"/>
        <v>RESP</v>
      </c>
      <c r="B128" s="20" t="str">
        <f t="shared" si="55"/>
        <v>INIT</v>
      </c>
      <c r="C128" s="20" t="str">
        <f t="shared" si="56"/>
        <v/>
      </c>
      <c r="D128" s="5"/>
      <c r="E128" s="28" t="s">
        <v>212</v>
      </c>
      <c r="F128" s="35" t="s">
        <v>213</v>
      </c>
      <c r="G128" s="30" t="s">
        <v>46</v>
      </c>
      <c r="H128" s="30" t="s">
        <v>46</v>
      </c>
      <c r="I128" s="30" t="s">
        <v>46</v>
      </c>
      <c r="J128" s="30"/>
      <c r="K128" s="30" t="s">
        <v>50</v>
      </c>
      <c r="L128" s="30"/>
      <c r="M128" s="30"/>
      <c r="N128" s="30"/>
      <c r="O128" s="31"/>
      <c r="P128" s="32"/>
      <c r="Q128" s="5"/>
      <c r="R128" s="10"/>
    </row>
    <row r="129" spans="1:18">
      <c r="A129" s="20" t="str">
        <f t="shared" si="54"/>
        <v>RESP</v>
      </c>
      <c r="B129" s="20" t="str">
        <f t="shared" si="55"/>
        <v>INIT</v>
      </c>
      <c r="C129" s="20" t="str">
        <f t="shared" si="56"/>
        <v/>
      </c>
      <c r="D129" s="5"/>
      <c r="E129" s="28" t="s">
        <v>214</v>
      </c>
      <c r="F129" s="35" t="s">
        <v>215</v>
      </c>
      <c r="G129" s="30" t="s">
        <v>46</v>
      </c>
      <c r="H129" s="30" t="s">
        <v>46</v>
      </c>
      <c r="I129" s="30" t="s">
        <v>46</v>
      </c>
      <c r="J129" s="30"/>
      <c r="K129" s="30" t="s">
        <v>47</v>
      </c>
      <c r="L129" s="30"/>
      <c r="M129" s="30"/>
      <c r="N129" s="30"/>
      <c r="O129" s="31"/>
      <c r="P129" s="32"/>
      <c r="Q129" s="5"/>
      <c r="R129" s="10"/>
    </row>
    <row r="130" spans="1:18">
      <c r="A130" s="20" t="str">
        <f t="shared" si="54"/>
        <v>RESP</v>
      </c>
      <c r="B130" s="20" t="str">
        <f t="shared" si="55"/>
        <v>INIT</v>
      </c>
      <c r="C130" s="20" t="str">
        <f t="shared" si="56"/>
        <v/>
      </c>
      <c r="D130" s="5"/>
      <c r="E130" s="28" t="s">
        <v>216</v>
      </c>
      <c r="F130" s="35" t="s">
        <v>217</v>
      </c>
      <c r="G130" s="30" t="s">
        <v>46</v>
      </c>
      <c r="H130" s="30" t="s">
        <v>46</v>
      </c>
      <c r="I130" s="30" t="s">
        <v>46</v>
      </c>
      <c r="J130" s="30"/>
      <c r="K130" s="30" t="s">
        <v>50</v>
      </c>
      <c r="L130" s="30"/>
      <c r="M130" s="30"/>
      <c r="N130" s="30"/>
      <c r="O130" s="31"/>
      <c r="P130" s="32"/>
      <c r="Q130" s="5"/>
      <c r="R130" s="10"/>
    </row>
    <row r="131" spans="1:18">
      <c r="A131" s="20" t="str">
        <f t="shared" ref="A131:A150" si="57">IF(J131="","RESP","")</f>
        <v>RESP</v>
      </c>
      <c r="B131" s="20" t="str">
        <f t="shared" ref="B131:B150" si="58">IF(M131="","INIT","")</f>
        <v>INIT</v>
      </c>
      <c r="C131" s="20" t="str">
        <f t="shared" ref="C131:C150" si="59">IF(AND(J131="NO",O131=""),"CMTS","")</f>
        <v/>
      </c>
      <c r="D131" s="5"/>
      <c r="E131" s="28" t="s">
        <v>218</v>
      </c>
      <c r="F131" s="35" t="s">
        <v>219</v>
      </c>
      <c r="G131" s="30" t="s">
        <v>46</v>
      </c>
      <c r="H131" s="30" t="s">
        <v>46</v>
      </c>
      <c r="I131" s="30" t="s">
        <v>46</v>
      </c>
      <c r="J131" s="30"/>
      <c r="K131" s="30" t="s">
        <v>50</v>
      </c>
      <c r="L131" s="30"/>
      <c r="M131" s="30"/>
      <c r="N131" s="30"/>
      <c r="O131" s="31"/>
      <c r="P131" s="32"/>
      <c r="Q131" s="5"/>
      <c r="R131" s="10"/>
    </row>
    <row r="132" spans="1:18">
      <c r="A132" s="20" t="str">
        <f t="shared" si="57"/>
        <v>RESP</v>
      </c>
      <c r="B132" s="20" t="str">
        <f t="shared" si="58"/>
        <v>INIT</v>
      </c>
      <c r="C132" s="20" t="str">
        <f t="shared" si="59"/>
        <v/>
      </c>
      <c r="D132" s="5"/>
      <c r="E132" s="28" t="s">
        <v>220</v>
      </c>
      <c r="F132" s="35" t="s">
        <v>221</v>
      </c>
      <c r="G132" s="30" t="s">
        <v>46</v>
      </c>
      <c r="H132" s="30" t="s">
        <v>46</v>
      </c>
      <c r="I132" s="30" t="s">
        <v>46</v>
      </c>
      <c r="J132" s="30"/>
      <c r="K132" s="30" t="s">
        <v>50</v>
      </c>
      <c r="L132" s="30"/>
      <c r="M132" s="30"/>
      <c r="N132" s="30"/>
      <c r="O132" s="31"/>
      <c r="P132" s="32"/>
      <c r="Q132" s="5"/>
      <c r="R132" s="10"/>
    </row>
    <row r="133" spans="1:18">
      <c r="A133" s="20" t="str">
        <f t="shared" si="57"/>
        <v>RESP</v>
      </c>
      <c r="B133" s="20" t="str">
        <f t="shared" si="58"/>
        <v>INIT</v>
      </c>
      <c r="C133" s="20" t="str">
        <f t="shared" si="59"/>
        <v/>
      </c>
      <c r="D133" s="5"/>
      <c r="E133" s="28" t="s">
        <v>222</v>
      </c>
      <c r="F133" s="35" t="s">
        <v>223</v>
      </c>
      <c r="G133" s="30" t="s">
        <v>46</v>
      </c>
      <c r="H133" s="30" t="s">
        <v>46</v>
      </c>
      <c r="I133" s="30" t="s">
        <v>46</v>
      </c>
      <c r="J133" s="30"/>
      <c r="K133" s="30" t="s">
        <v>50</v>
      </c>
      <c r="L133" s="30"/>
      <c r="M133" s="30"/>
      <c r="N133" s="30"/>
      <c r="O133" s="31"/>
      <c r="P133" s="32"/>
      <c r="Q133" s="5"/>
      <c r="R133" s="10"/>
    </row>
    <row r="134" spans="1:18">
      <c r="A134" s="20" t="str">
        <f t="shared" si="57"/>
        <v>RESP</v>
      </c>
      <c r="B134" s="20" t="str">
        <f t="shared" si="58"/>
        <v>INIT</v>
      </c>
      <c r="C134" s="20" t="str">
        <f t="shared" si="59"/>
        <v/>
      </c>
      <c r="D134" s="5"/>
      <c r="E134" s="28" t="s">
        <v>224</v>
      </c>
      <c r="F134" s="35" t="s">
        <v>225</v>
      </c>
      <c r="G134" s="30" t="s">
        <v>46</v>
      </c>
      <c r="H134" s="30" t="s">
        <v>46</v>
      </c>
      <c r="I134" s="30" t="s">
        <v>46</v>
      </c>
      <c r="J134" s="30"/>
      <c r="K134" s="30" t="s">
        <v>50</v>
      </c>
      <c r="L134" s="30"/>
      <c r="M134" s="30"/>
      <c r="N134" s="30"/>
      <c r="O134" s="31"/>
      <c r="P134" s="32"/>
      <c r="Q134" s="5"/>
      <c r="R134" s="10"/>
    </row>
    <row r="135" spans="1:18">
      <c r="A135" s="20" t="str">
        <f t="shared" si="57"/>
        <v>RESP</v>
      </c>
      <c r="B135" s="20" t="str">
        <f t="shared" si="58"/>
        <v>INIT</v>
      </c>
      <c r="C135" s="20" t="str">
        <f t="shared" si="59"/>
        <v/>
      </c>
      <c r="D135" s="5"/>
      <c r="E135" s="28" t="s">
        <v>226</v>
      </c>
      <c r="F135" s="36" t="s">
        <v>227</v>
      </c>
      <c r="G135" s="30" t="s">
        <v>46</v>
      </c>
      <c r="H135" s="30" t="s">
        <v>46</v>
      </c>
      <c r="I135" s="30" t="s">
        <v>46</v>
      </c>
      <c r="J135" s="30"/>
      <c r="K135" s="30" t="s">
        <v>50</v>
      </c>
      <c r="L135" s="30"/>
      <c r="M135" s="30"/>
      <c r="N135" s="30"/>
      <c r="O135" s="31"/>
      <c r="P135" s="32"/>
      <c r="Q135" s="5"/>
      <c r="R135" s="10"/>
    </row>
    <row r="136" spans="1:18" ht="52.5">
      <c r="A136" s="20" t="str">
        <f t="shared" si="57"/>
        <v>RESP</v>
      </c>
      <c r="B136" s="20" t="str">
        <f t="shared" si="58"/>
        <v>INIT</v>
      </c>
      <c r="C136" s="20" t="str">
        <f t="shared" si="59"/>
        <v/>
      </c>
      <c r="D136" s="5"/>
      <c r="E136" s="28" t="s">
        <v>228</v>
      </c>
      <c r="F136" s="36" t="s">
        <v>229</v>
      </c>
      <c r="G136" s="30" t="s">
        <v>46</v>
      </c>
      <c r="H136" s="30" t="s">
        <v>46</v>
      </c>
      <c r="I136" s="30" t="s">
        <v>46</v>
      </c>
      <c r="J136" s="30"/>
      <c r="K136" s="30" t="s">
        <v>50</v>
      </c>
      <c r="L136" s="30"/>
      <c r="M136" s="30"/>
      <c r="N136" s="30"/>
      <c r="O136" s="31"/>
      <c r="P136" s="32"/>
      <c r="Q136" s="5"/>
      <c r="R136" s="10"/>
    </row>
    <row r="137" spans="1:18">
      <c r="A137" s="20" t="str">
        <f t="shared" si="57"/>
        <v>RESP</v>
      </c>
      <c r="B137" s="20" t="str">
        <f t="shared" si="58"/>
        <v>INIT</v>
      </c>
      <c r="C137" s="20" t="str">
        <f t="shared" si="59"/>
        <v/>
      </c>
      <c r="D137" s="5"/>
      <c r="E137" s="28" t="s">
        <v>230</v>
      </c>
      <c r="F137" s="35" t="s">
        <v>231</v>
      </c>
      <c r="G137" s="30" t="s">
        <v>46</v>
      </c>
      <c r="H137" s="30" t="s">
        <v>46</v>
      </c>
      <c r="I137" s="30" t="s">
        <v>46</v>
      </c>
      <c r="J137" s="30"/>
      <c r="K137" s="30" t="s">
        <v>50</v>
      </c>
      <c r="L137" s="30"/>
      <c r="M137" s="30"/>
      <c r="N137" s="30"/>
      <c r="O137" s="31"/>
      <c r="P137" s="32"/>
      <c r="Q137" s="5"/>
      <c r="R137" s="10"/>
    </row>
    <row r="138" spans="1:18">
      <c r="A138" s="20" t="str">
        <f t="shared" si="57"/>
        <v>RESP</v>
      </c>
      <c r="B138" s="20" t="str">
        <f t="shared" si="58"/>
        <v>INIT</v>
      </c>
      <c r="C138" s="20" t="str">
        <f t="shared" si="59"/>
        <v/>
      </c>
      <c r="D138" s="5"/>
      <c r="E138" s="28" t="s">
        <v>232</v>
      </c>
      <c r="F138" s="35" t="s">
        <v>233</v>
      </c>
      <c r="G138" s="30" t="s">
        <v>234</v>
      </c>
      <c r="H138" s="30" t="s">
        <v>46</v>
      </c>
      <c r="I138" s="30" t="s">
        <v>46</v>
      </c>
      <c r="J138" s="30"/>
      <c r="K138" s="30" t="s">
        <v>50</v>
      </c>
      <c r="L138" s="30"/>
      <c r="M138" s="30"/>
      <c r="N138" s="30"/>
      <c r="O138" s="31"/>
      <c r="P138" s="32"/>
      <c r="Q138" s="5"/>
      <c r="R138" s="10"/>
    </row>
    <row r="139" spans="1:18">
      <c r="A139" s="20" t="str">
        <f t="shared" si="57"/>
        <v>RESP</v>
      </c>
      <c r="B139" s="20" t="str">
        <f t="shared" si="58"/>
        <v>INIT</v>
      </c>
      <c r="C139" s="20" t="str">
        <f t="shared" si="59"/>
        <v/>
      </c>
      <c r="D139" s="5"/>
      <c r="E139" s="28" t="s">
        <v>235</v>
      </c>
      <c r="F139" s="35" t="s">
        <v>236</v>
      </c>
      <c r="G139" s="30" t="s">
        <v>234</v>
      </c>
      <c r="H139" s="30" t="s">
        <v>46</v>
      </c>
      <c r="I139" s="30" t="s">
        <v>46</v>
      </c>
      <c r="J139" s="30"/>
      <c r="K139" s="30" t="s">
        <v>50</v>
      </c>
      <c r="L139" s="30"/>
      <c r="M139" s="30"/>
      <c r="N139" s="30"/>
      <c r="O139" s="31"/>
      <c r="P139" s="32"/>
      <c r="Q139" s="5"/>
      <c r="R139" s="10"/>
    </row>
    <row r="140" spans="1:18">
      <c r="A140" s="20" t="str">
        <f t="shared" si="57"/>
        <v>RESP</v>
      </c>
      <c r="B140" s="20" t="str">
        <f t="shared" si="58"/>
        <v>INIT</v>
      </c>
      <c r="C140" s="20" t="str">
        <f t="shared" si="59"/>
        <v/>
      </c>
      <c r="D140" s="5"/>
      <c r="E140" s="28" t="s">
        <v>237</v>
      </c>
      <c r="F140" s="35" t="s">
        <v>238</v>
      </c>
      <c r="G140" s="30" t="s">
        <v>234</v>
      </c>
      <c r="H140" s="30" t="s">
        <v>46</v>
      </c>
      <c r="I140" s="30" t="s">
        <v>46</v>
      </c>
      <c r="J140" s="30"/>
      <c r="K140" s="30" t="s">
        <v>50</v>
      </c>
      <c r="L140" s="30"/>
      <c r="M140" s="30"/>
      <c r="N140" s="30"/>
      <c r="O140" s="31"/>
      <c r="P140" s="32"/>
      <c r="Q140" s="5"/>
      <c r="R140" s="10"/>
    </row>
    <row r="141" spans="1:18">
      <c r="A141" s="20" t="str">
        <f t="shared" ref="A141" si="60">IF(J141="","RESP","")</f>
        <v>RESP</v>
      </c>
      <c r="B141" s="20" t="str">
        <f t="shared" ref="B141" si="61">IF(M141="","INIT","")</f>
        <v>INIT</v>
      </c>
      <c r="C141" s="20" t="str">
        <f t="shared" ref="C141" si="62">IF(AND(J141="NO",O141=""),"CMTS","")</f>
        <v/>
      </c>
      <c r="D141" s="5"/>
      <c r="E141" s="28" t="s">
        <v>239</v>
      </c>
      <c r="F141" s="35" t="s">
        <v>240</v>
      </c>
      <c r="G141" s="30" t="s">
        <v>234</v>
      </c>
      <c r="H141" s="30" t="s">
        <v>46</v>
      </c>
      <c r="I141" s="30" t="s">
        <v>46</v>
      </c>
      <c r="J141" s="30"/>
      <c r="K141" s="30" t="s">
        <v>47</v>
      </c>
      <c r="L141" s="30"/>
      <c r="M141" s="30"/>
      <c r="N141" s="30"/>
      <c r="O141" s="31"/>
      <c r="P141" s="32"/>
      <c r="Q141" s="5"/>
      <c r="R141" s="10"/>
    </row>
    <row r="142" spans="1:18">
      <c r="A142" s="20" t="str">
        <f t="shared" ref="A142:A144" si="63">IF(J142="","RESP","")</f>
        <v>RESP</v>
      </c>
      <c r="B142" s="20" t="str">
        <f t="shared" ref="B142:B144" si="64">IF(M142="","INIT","")</f>
        <v>INIT</v>
      </c>
      <c r="C142" s="20" t="str">
        <f t="shared" ref="C142:C144" si="65">IF(AND(J142="NO",O142=""),"CMTS","")</f>
        <v/>
      </c>
      <c r="D142" s="5"/>
      <c r="E142" s="28" t="s">
        <v>241</v>
      </c>
      <c r="F142" s="35" t="s">
        <v>242</v>
      </c>
      <c r="G142" s="30" t="s">
        <v>234</v>
      </c>
      <c r="H142" s="30" t="s">
        <v>46</v>
      </c>
      <c r="I142" s="30" t="s">
        <v>46</v>
      </c>
      <c r="J142" s="30"/>
      <c r="K142" s="30" t="s">
        <v>47</v>
      </c>
      <c r="L142" s="30"/>
      <c r="M142" s="30"/>
      <c r="N142" s="30"/>
      <c r="O142" s="31"/>
      <c r="P142" s="32"/>
      <c r="Q142" s="5"/>
      <c r="R142" s="10"/>
    </row>
    <row r="143" spans="1:18">
      <c r="A143" s="20" t="str">
        <f t="shared" si="63"/>
        <v>RESP</v>
      </c>
      <c r="B143" s="20" t="str">
        <f t="shared" si="64"/>
        <v>INIT</v>
      </c>
      <c r="C143" s="20" t="str">
        <f t="shared" si="65"/>
        <v/>
      </c>
      <c r="D143" s="5"/>
      <c r="E143" s="28" t="s">
        <v>243</v>
      </c>
      <c r="F143" s="35" t="s">
        <v>244</v>
      </c>
      <c r="G143" s="30" t="s">
        <v>234</v>
      </c>
      <c r="H143" s="30" t="s">
        <v>46</v>
      </c>
      <c r="I143" s="30" t="s">
        <v>46</v>
      </c>
      <c r="J143" s="30"/>
      <c r="K143" s="30" t="s">
        <v>47</v>
      </c>
      <c r="L143" s="30"/>
      <c r="M143" s="30"/>
      <c r="N143" s="30"/>
      <c r="O143" s="31"/>
      <c r="P143" s="32"/>
      <c r="Q143" s="5"/>
      <c r="R143" s="10"/>
    </row>
    <row r="144" spans="1:18">
      <c r="A144" s="20" t="str">
        <f t="shared" si="63"/>
        <v>RESP</v>
      </c>
      <c r="B144" s="20" t="str">
        <f t="shared" si="64"/>
        <v>INIT</v>
      </c>
      <c r="C144" s="20" t="str">
        <f t="shared" si="65"/>
        <v/>
      </c>
      <c r="D144" s="5"/>
      <c r="E144" s="28" t="s">
        <v>245</v>
      </c>
      <c r="F144" s="35" t="s">
        <v>246</v>
      </c>
      <c r="G144" s="30" t="s">
        <v>234</v>
      </c>
      <c r="H144" s="30" t="s">
        <v>46</v>
      </c>
      <c r="I144" s="30" t="s">
        <v>46</v>
      </c>
      <c r="J144" s="30"/>
      <c r="K144" s="30" t="s">
        <v>47</v>
      </c>
      <c r="L144" s="30"/>
      <c r="M144" s="30"/>
      <c r="N144" s="30"/>
      <c r="O144" s="31"/>
      <c r="P144" s="32"/>
      <c r="Q144" s="5"/>
      <c r="R144" s="10"/>
    </row>
    <row r="145" spans="1:18" ht="21.95" customHeight="1">
      <c r="A145" s="20" t="str">
        <f t="shared" ref="A145" si="66">IF(J145="","RESP","")</f>
        <v>RESP</v>
      </c>
      <c r="B145" s="20" t="str">
        <f t="shared" ref="B145" si="67">IF(M145="","INIT","")</f>
        <v>INIT</v>
      </c>
      <c r="C145" s="20" t="str">
        <f t="shared" ref="C145" si="68">IF(AND(J145="NO",O145=""),"CMTS","")</f>
        <v/>
      </c>
      <c r="D145" s="5"/>
      <c r="E145" s="28" t="s">
        <v>247</v>
      </c>
      <c r="F145" s="36" t="s">
        <v>248</v>
      </c>
      <c r="G145" s="30" t="s">
        <v>234</v>
      </c>
      <c r="H145" s="30" t="s">
        <v>46</v>
      </c>
      <c r="I145" s="30" t="s">
        <v>46</v>
      </c>
      <c r="J145" s="30"/>
      <c r="K145" s="30" t="s">
        <v>50</v>
      </c>
      <c r="L145" s="30"/>
      <c r="M145" s="30"/>
      <c r="N145" s="30"/>
      <c r="O145" s="31"/>
      <c r="P145" s="32"/>
      <c r="Q145" s="5"/>
      <c r="R145" s="33" t="s">
        <v>122</v>
      </c>
    </row>
    <row r="146" spans="1:18" ht="26.45">
      <c r="A146" s="20" t="str">
        <f t="shared" ref="A146" si="69">IF(J146="","RESP","")</f>
        <v>RESP</v>
      </c>
      <c r="B146" s="20" t="str">
        <f t="shared" ref="B146" si="70">IF(M146="","INIT","")</f>
        <v>INIT</v>
      </c>
      <c r="C146" s="20" t="str">
        <f t="shared" ref="C146" si="71">IF(AND(J146="NO",O146=""),"CMTS","")</f>
        <v/>
      </c>
      <c r="D146" s="5"/>
      <c r="E146" s="28" t="s">
        <v>249</v>
      </c>
      <c r="F146" s="36" t="s">
        <v>250</v>
      </c>
      <c r="G146" s="30" t="s">
        <v>234</v>
      </c>
      <c r="H146" s="30" t="s">
        <v>46</v>
      </c>
      <c r="I146" s="30" t="s">
        <v>46</v>
      </c>
      <c r="J146" s="30"/>
      <c r="K146" s="30" t="s">
        <v>50</v>
      </c>
      <c r="L146" s="30"/>
      <c r="M146" s="30"/>
      <c r="N146" s="30"/>
      <c r="O146" s="31"/>
      <c r="P146" s="32"/>
      <c r="Q146" s="5"/>
      <c r="R146" s="33" t="s">
        <v>122</v>
      </c>
    </row>
    <row r="147" spans="1:18">
      <c r="A147" s="20" t="str">
        <f t="shared" ref="A147" si="72">IF(J147="","RESP","")</f>
        <v>RESP</v>
      </c>
      <c r="B147" s="20" t="str">
        <f t="shared" ref="B147" si="73">IF(M147="","INIT","")</f>
        <v>INIT</v>
      </c>
      <c r="C147" s="20" t="str">
        <f t="shared" ref="C147" si="74">IF(AND(J147="NO",O147=""),"CMTS","")</f>
        <v/>
      </c>
      <c r="D147" s="5"/>
      <c r="E147" s="28" t="s">
        <v>251</v>
      </c>
      <c r="F147" s="36" t="s">
        <v>252</v>
      </c>
      <c r="G147" s="30" t="s">
        <v>234</v>
      </c>
      <c r="H147" s="30" t="s">
        <v>46</v>
      </c>
      <c r="I147" s="30" t="s">
        <v>46</v>
      </c>
      <c r="J147" s="30"/>
      <c r="K147" s="30" t="s">
        <v>47</v>
      </c>
      <c r="L147" s="30"/>
      <c r="M147" s="30"/>
      <c r="N147" s="30"/>
      <c r="O147" s="31"/>
      <c r="P147" s="32"/>
      <c r="Q147" s="5"/>
      <c r="R147" s="10"/>
    </row>
    <row r="148" spans="1:18">
      <c r="A148" s="20" t="str">
        <f t="shared" ref="A148" si="75">IF(J148="","RESP","")</f>
        <v>RESP</v>
      </c>
      <c r="B148" s="20" t="str">
        <f t="shared" ref="B148" si="76">IF(M148="","INIT","")</f>
        <v>INIT</v>
      </c>
      <c r="C148" s="20" t="str">
        <f t="shared" ref="C148" si="77">IF(AND(J148="NO",O148=""),"CMTS","")</f>
        <v/>
      </c>
      <c r="D148" s="5"/>
      <c r="E148" s="28" t="s">
        <v>253</v>
      </c>
      <c r="F148" s="36" t="s">
        <v>254</v>
      </c>
      <c r="G148" s="30" t="s">
        <v>234</v>
      </c>
      <c r="H148" s="30" t="s">
        <v>46</v>
      </c>
      <c r="I148" s="30" t="s">
        <v>46</v>
      </c>
      <c r="J148" s="30"/>
      <c r="K148" s="30" t="s">
        <v>50</v>
      </c>
      <c r="L148" s="30"/>
      <c r="M148" s="30"/>
      <c r="N148" s="30"/>
      <c r="O148" s="31"/>
      <c r="P148" s="32"/>
      <c r="Q148" s="5"/>
      <c r="R148" s="10"/>
    </row>
    <row r="149" spans="1:18">
      <c r="A149" s="20" t="str">
        <f t="shared" si="57"/>
        <v>RESP</v>
      </c>
      <c r="B149" s="20" t="str">
        <f t="shared" si="58"/>
        <v>INIT</v>
      </c>
      <c r="C149" s="20" t="str">
        <f t="shared" si="59"/>
        <v/>
      </c>
      <c r="D149" s="5"/>
      <c r="E149" s="28" t="s">
        <v>255</v>
      </c>
      <c r="F149" s="36" t="s">
        <v>256</v>
      </c>
      <c r="G149" s="30" t="s">
        <v>234</v>
      </c>
      <c r="H149" s="30" t="s">
        <v>46</v>
      </c>
      <c r="I149" s="30" t="s">
        <v>46</v>
      </c>
      <c r="J149" s="30"/>
      <c r="K149" s="30" t="s">
        <v>50</v>
      </c>
      <c r="L149" s="30"/>
      <c r="M149" s="30"/>
      <c r="N149" s="30"/>
      <c r="O149" s="31"/>
      <c r="P149" s="32"/>
      <c r="Q149" s="5"/>
      <c r="R149" s="10"/>
    </row>
    <row r="150" spans="1:18">
      <c r="A150" s="20" t="str">
        <f t="shared" si="57"/>
        <v>RESP</v>
      </c>
      <c r="B150" s="20" t="str">
        <f t="shared" si="58"/>
        <v>INIT</v>
      </c>
      <c r="C150" s="20" t="str">
        <f t="shared" si="59"/>
        <v/>
      </c>
      <c r="D150" s="5"/>
      <c r="E150" s="28" t="s">
        <v>257</v>
      </c>
      <c r="F150" s="36" t="s">
        <v>258</v>
      </c>
      <c r="G150" s="30" t="s">
        <v>234</v>
      </c>
      <c r="H150" s="30" t="s">
        <v>46</v>
      </c>
      <c r="I150" s="30" t="s">
        <v>46</v>
      </c>
      <c r="J150" s="30"/>
      <c r="K150" s="30" t="s">
        <v>50</v>
      </c>
      <c r="L150" s="30"/>
      <c r="M150" s="30"/>
      <c r="N150" s="30"/>
      <c r="O150" s="31"/>
      <c r="P150" s="32"/>
      <c r="Q150" s="5"/>
      <c r="R150" s="10"/>
    </row>
    <row r="151" spans="1:18">
      <c r="A151" s="20" t="str">
        <f t="shared" ref="A151:A156" si="78">IF(J151="","RESP","")</f>
        <v>RESP</v>
      </c>
      <c r="B151" s="20" t="str">
        <f t="shared" ref="B151:B156" si="79">IF(M151="","INIT","")</f>
        <v>INIT</v>
      </c>
      <c r="C151" s="20" t="str">
        <f t="shared" ref="C151:C156" si="80">IF(AND(J151="NO",O151=""),"CMTS","")</f>
        <v/>
      </c>
      <c r="E151" s="37" t="s">
        <v>259</v>
      </c>
      <c r="F151" s="38" t="s">
        <v>260</v>
      </c>
      <c r="G151" s="30" t="s">
        <v>46</v>
      </c>
      <c r="H151" s="30" t="s">
        <v>46</v>
      </c>
      <c r="I151" s="30" t="s">
        <v>261</v>
      </c>
      <c r="J151" s="30"/>
      <c r="K151" s="30" t="s">
        <v>47</v>
      </c>
      <c r="L151" s="30"/>
      <c r="M151" s="30"/>
      <c r="N151" s="30"/>
      <c r="O151" s="31"/>
      <c r="P151" s="32"/>
      <c r="Q151" s="5"/>
      <c r="R151" s="10"/>
    </row>
    <row r="152" spans="1:18">
      <c r="A152" s="20" t="str">
        <f t="shared" si="78"/>
        <v>RESP</v>
      </c>
      <c r="B152" s="20" t="str">
        <f t="shared" si="79"/>
        <v>INIT</v>
      </c>
      <c r="C152" s="20" t="str">
        <f t="shared" si="80"/>
        <v/>
      </c>
      <c r="E152" s="37" t="s">
        <v>262</v>
      </c>
      <c r="F152" s="38" t="s">
        <v>263</v>
      </c>
      <c r="G152" s="30" t="s">
        <v>46</v>
      </c>
      <c r="H152" s="30" t="s">
        <v>46</v>
      </c>
      <c r="I152" s="30" t="s">
        <v>261</v>
      </c>
      <c r="J152" s="30"/>
      <c r="K152" s="30" t="s">
        <v>47</v>
      </c>
      <c r="L152" s="30"/>
      <c r="M152" s="30"/>
      <c r="N152" s="30"/>
      <c r="O152" s="31"/>
      <c r="P152" s="32"/>
      <c r="Q152" s="5"/>
      <c r="R152" s="10"/>
    </row>
    <row r="153" spans="1:18">
      <c r="A153" s="20" t="str">
        <f t="shared" si="78"/>
        <v>RESP</v>
      </c>
      <c r="B153" s="20" t="str">
        <f t="shared" si="79"/>
        <v>INIT</v>
      </c>
      <c r="C153" s="20" t="str">
        <f t="shared" si="80"/>
        <v/>
      </c>
      <c r="E153" s="37" t="s">
        <v>264</v>
      </c>
      <c r="F153" s="38" t="s">
        <v>265</v>
      </c>
      <c r="G153" s="30" t="s">
        <v>46</v>
      </c>
      <c r="H153" s="30" t="s">
        <v>46</v>
      </c>
      <c r="I153" s="30" t="s">
        <v>261</v>
      </c>
      <c r="J153" s="30"/>
      <c r="K153" s="30" t="s">
        <v>50</v>
      </c>
      <c r="L153" s="30"/>
      <c r="M153" s="30"/>
      <c r="N153" s="30"/>
      <c r="O153" s="31"/>
      <c r="P153" s="32"/>
      <c r="Q153" s="5"/>
      <c r="R153" s="10"/>
    </row>
    <row r="154" spans="1:18">
      <c r="A154" s="20" t="str">
        <f t="shared" si="78"/>
        <v>RESP</v>
      </c>
      <c r="B154" s="20" t="str">
        <f t="shared" si="79"/>
        <v>INIT</v>
      </c>
      <c r="C154" s="20" t="str">
        <f t="shared" si="80"/>
        <v/>
      </c>
      <c r="E154" s="37" t="s">
        <v>266</v>
      </c>
      <c r="F154" s="38" t="s">
        <v>267</v>
      </c>
      <c r="G154" s="30" t="s">
        <v>46</v>
      </c>
      <c r="H154" s="30" t="s">
        <v>46</v>
      </c>
      <c r="I154" s="30" t="s">
        <v>261</v>
      </c>
      <c r="J154" s="30"/>
      <c r="K154" s="30" t="s">
        <v>47</v>
      </c>
      <c r="L154" s="30"/>
      <c r="M154" s="30"/>
      <c r="N154" s="30"/>
      <c r="O154" s="31"/>
      <c r="P154" s="32"/>
      <c r="Q154" s="5"/>
      <c r="R154" s="10"/>
    </row>
    <row r="155" spans="1:18">
      <c r="A155" s="20" t="str">
        <f t="shared" si="78"/>
        <v>RESP</v>
      </c>
      <c r="B155" s="20" t="str">
        <f t="shared" si="79"/>
        <v>INIT</v>
      </c>
      <c r="C155" s="20" t="str">
        <f t="shared" si="80"/>
        <v/>
      </c>
      <c r="E155" s="37" t="s">
        <v>268</v>
      </c>
      <c r="F155" s="38" t="s">
        <v>269</v>
      </c>
      <c r="G155" s="30" t="s">
        <v>46</v>
      </c>
      <c r="H155" s="30" t="s">
        <v>46</v>
      </c>
      <c r="I155" s="30" t="s">
        <v>261</v>
      </c>
      <c r="J155" s="30"/>
      <c r="K155" s="30" t="s">
        <v>47</v>
      </c>
      <c r="L155" s="30"/>
      <c r="M155" s="30"/>
      <c r="N155" s="30"/>
      <c r="O155" s="31"/>
      <c r="P155" s="32"/>
      <c r="Q155" s="5"/>
      <c r="R155" s="10"/>
    </row>
    <row r="156" spans="1:18" ht="39.6">
      <c r="A156" s="20" t="str">
        <f t="shared" si="78"/>
        <v>RESP</v>
      </c>
      <c r="B156" s="20" t="str">
        <f t="shared" si="79"/>
        <v>INIT</v>
      </c>
      <c r="C156" s="20" t="str">
        <f t="shared" si="80"/>
        <v/>
      </c>
      <c r="E156" s="37" t="s">
        <v>270</v>
      </c>
      <c r="F156" s="39" t="s">
        <v>271</v>
      </c>
      <c r="G156" s="30" t="s">
        <v>46</v>
      </c>
      <c r="H156" s="30" t="s">
        <v>46</v>
      </c>
      <c r="I156" s="30" t="s">
        <v>261</v>
      </c>
      <c r="J156" s="30"/>
      <c r="K156" s="30" t="s">
        <v>50</v>
      </c>
      <c r="L156" s="30"/>
      <c r="M156" s="30"/>
      <c r="N156" s="30"/>
      <c r="O156" s="31"/>
      <c r="P156" s="32"/>
      <c r="Q156" s="5"/>
      <c r="R156" s="10"/>
    </row>
    <row r="157" spans="1:18" ht="26.45">
      <c r="A157" s="20" t="str">
        <f t="shared" ref="A157" si="81">IF(J157="","RESP","")</f>
        <v>RESP</v>
      </c>
      <c r="B157" s="20" t="str">
        <f t="shared" ref="B157" si="82">IF(M157="","INIT","")</f>
        <v>INIT</v>
      </c>
      <c r="C157" s="20" t="str">
        <f t="shared" ref="C157" si="83">IF(AND(J157="NO",O157=""),"CMTS","")</f>
        <v/>
      </c>
      <c r="E157" s="37" t="s">
        <v>272</v>
      </c>
      <c r="F157" s="39" t="s">
        <v>273</v>
      </c>
      <c r="G157" s="30" t="s">
        <v>46</v>
      </c>
      <c r="H157" s="30" t="s">
        <v>46</v>
      </c>
      <c r="I157" s="30" t="s">
        <v>261</v>
      </c>
      <c r="J157" s="30"/>
      <c r="K157" s="30" t="s">
        <v>50</v>
      </c>
      <c r="L157" s="30"/>
      <c r="M157" s="30"/>
      <c r="N157" s="30"/>
      <c r="O157" s="31"/>
      <c r="P157" s="32"/>
      <c r="Q157" s="5"/>
      <c r="R157" s="10"/>
    </row>
    <row r="158" spans="1:18" ht="26.45">
      <c r="A158" s="20" t="str">
        <f t="shared" ref="A158" si="84">IF(J158="","RESP","")</f>
        <v>RESP</v>
      </c>
      <c r="B158" s="20" t="str">
        <f t="shared" ref="B158" si="85">IF(M158="","INIT","")</f>
        <v>INIT</v>
      </c>
      <c r="C158" s="20" t="str">
        <f t="shared" ref="C158" si="86">IF(AND(J158="NO",O158=""),"CMTS","")</f>
        <v/>
      </c>
      <c r="E158" s="37" t="s">
        <v>274</v>
      </c>
      <c r="F158" s="39" t="s">
        <v>275</v>
      </c>
      <c r="G158" s="30" t="s">
        <v>46</v>
      </c>
      <c r="H158" s="30" t="s">
        <v>46</v>
      </c>
      <c r="I158" s="30" t="s">
        <v>261</v>
      </c>
      <c r="J158" s="30"/>
      <c r="K158" s="30" t="s">
        <v>50</v>
      </c>
      <c r="L158" s="30"/>
      <c r="M158" s="30"/>
      <c r="N158" s="30"/>
      <c r="O158" s="31"/>
      <c r="P158" s="32"/>
      <c r="Q158" s="5"/>
      <c r="R158" s="10"/>
    </row>
    <row r="159" spans="1:18">
      <c r="A159" s="20" t="str">
        <f t="shared" ref="A159" si="87">IF(J159="","RESP","")</f>
        <v>RESP</v>
      </c>
      <c r="B159" s="20" t="str">
        <f t="shared" ref="B159" si="88">IF(M159="","INIT","")</f>
        <v>INIT</v>
      </c>
      <c r="C159" s="20" t="str">
        <f t="shared" ref="C159" si="89">IF(AND(J159="NO",O159=""),"CMTS","")</f>
        <v/>
      </c>
      <c r="E159" s="37" t="s">
        <v>276</v>
      </c>
      <c r="F159" s="39" t="s">
        <v>277</v>
      </c>
      <c r="G159" s="30" t="s">
        <v>46</v>
      </c>
      <c r="H159" s="30" t="s">
        <v>46</v>
      </c>
      <c r="I159" s="30" t="s">
        <v>261</v>
      </c>
      <c r="J159" s="30"/>
      <c r="K159" s="30" t="s">
        <v>50</v>
      </c>
      <c r="L159" s="30"/>
      <c r="M159" s="30"/>
      <c r="N159" s="30"/>
      <c r="O159" s="31"/>
      <c r="P159" s="32"/>
      <c r="Q159" s="5"/>
      <c r="R159" s="10"/>
    </row>
    <row r="162" spans="1:18" ht="27.6">
      <c r="A162" s="12" t="s">
        <v>32</v>
      </c>
      <c r="B162" s="13"/>
      <c r="C162" s="13"/>
      <c r="D162" s="2"/>
      <c r="E162" s="22" t="s">
        <v>278</v>
      </c>
      <c r="F162" s="23"/>
      <c r="G162" s="40" t="s">
        <v>34</v>
      </c>
      <c r="H162" s="40" t="s">
        <v>35</v>
      </c>
      <c r="I162" s="40" t="s">
        <v>36</v>
      </c>
      <c r="J162" s="40" t="s">
        <v>37</v>
      </c>
      <c r="K162" s="40" t="s">
        <v>38</v>
      </c>
      <c r="L162" s="40" t="s">
        <v>39</v>
      </c>
      <c r="M162" s="40" t="s">
        <v>40</v>
      </c>
      <c r="N162" s="40" t="s">
        <v>41</v>
      </c>
      <c r="O162" s="40" t="s">
        <v>1</v>
      </c>
      <c r="P162" s="41" t="s">
        <v>104</v>
      </c>
      <c r="Q162" s="2"/>
      <c r="R162" s="9" t="s">
        <v>43</v>
      </c>
    </row>
    <row r="163" spans="1:18">
      <c r="A163" s="20" t="str">
        <f t="shared" ref="A163:A186" si="90">IF(J163="","RESP","")</f>
        <v>RESP</v>
      </c>
      <c r="B163" s="20" t="str">
        <f t="shared" ref="B163:B186" si="91">IF(M163="","INIT","")</f>
        <v>INIT</v>
      </c>
      <c r="C163" s="20" t="str">
        <f t="shared" ref="C163:C186" si="92">IF(AND(J163="NO",O163=""),"CMTS","")</f>
        <v/>
      </c>
      <c r="D163" s="5"/>
      <c r="E163" s="28" t="s">
        <v>279</v>
      </c>
      <c r="F163" s="36" t="s">
        <v>280</v>
      </c>
      <c r="G163" s="30" t="s">
        <v>46</v>
      </c>
      <c r="H163" s="30" t="s">
        <v>281</v>
      </c>
      <c r="I163" s="30" t="s">
        <v>282</v>
      </c>
      <c r="J163" s="30"/>
      <c r="K163" s="30" t="s">
        <v>50</v>
      </c>
      <c r="L163" s="30"/>
      <c r="M163" s="30"/>
      <c r="N163" s="30"/>
      <c r="O163" s="31"/>
      <c r="P163" s="32"/>
      <c r="Q163" s="5"/>
      <c r="R163" s="10"/>
    </row>
    <row r="164" spans="1:18">
      <c r="A164" s="20" t="str">
        <f t="shared" si="90"/>
        <v>RESP</v>
      </c>
      <c r="B164" s="20" t="str">
        <f t="shared" si="91"/>
        <v>INIT</v>
      </c>
      <c r="C164" s="20" t="str">
        <f t="shared" si="92"/>
        <v/>
      </c>
      <c r="D164" s="5"/>
      <c r="E164" s="28" t="s">
        <v>283</v>
      </c>
      <c r="F164" s="36" t="s">
        <v>284</v>
      </c>
      <c r="G164" s="30" t="s">
        <v>46</v>
      </c>
      <c r="H164" s="30" t="s">
        <v>281</v>
      </c>
      <c r="I164" s="30" t="s">
        <v>282</v>
      </c>
      <c r="J164" s="30"/>
      <c r="K164" s="30" t="s">
        <v>47</v>
      </c>
      <c r="L164" s="30"/>
      <c r="M164" s="30"/>
      <c r="N164" s="30"/>
      <c r="O164" s="31"/>
      <c r="P164" s="32"/>
      <c r="Q164" s="5"/>
      <c r="R164" s="10"/>
    </row>
    <row r="165" spans="1:18">
      <c r="A165" s="20" t="str">
        <f t="shared" si="90"/>
        <v>RESP</v>
      </c>
      <c r="B165" s="20" t="str">
        <f t="shared" si="91"/>
        <v>INIT</v>
      </c>
      <c r="C165" s="20" t="str">
        <f t="shared" si="92"/>
        <v/>
      </c>
      <c r="D165" s="5"/>
      <c r="E165" s="28" t="s">
        <v>285</v>
      </c>
      <c r="F165" s="36" t="s">
        <v>286</v>
      </c>
      <c r="G165" s="30" t="s">
        <v>46</v>
      </c>
      <c r="H165" s="30" t="s">
        <v>281</v>
      </c>
      <c r="I165" s="30" t="s">
        <v>282</v>
      </c>
      <c r="J165" s="30"/>
      <c r="K165" s="30" t="s">
        <v>50</v>
      </c>
      <c r="L165" s="30"/>
      <c r="M165" s="30"/>
      <c r="N165" s="30"/>
      <c r="O165" s="31"/>
      <c r="P165" s="32"/>
      <c r="Q165" s="5"/>
      <c r="R165" s="10"/>
    </row>
    <row r="166" spans="1:18">
      <c r="A166" s="20" t="str">
        <f t="shared" si="90"/>
        <v>RESP</v>
      </c>
      <c r="B166" s="20" t="str">
        <f t="shared" si="91"/>
        <v>INIT</v>
      </c>
      <c r="C166" s="20" t="str">
        <f t="shared" si="92"/>
        <v/>
      </c>
      <c r="D166" s="5"/>
      <c r="E166" s="28" t="s">
        <v>287</v>
      </c>
      <c r="F166" s="36" t="s">
        <v>288</v>
      </c>
      <c r="G166" s="30" t="s">
        <v>46</v>
      </c>
      <c r="H166" s="30" t="s">
        <v>281</v>
      </c>
      <c r="I166" s="30" t="s">
        <v>282</v>
      </c>
      <c r="J166" s="30"/>
      <c r="K166" s="30" t="s">
        <v>50</v>
      </c>
      <c r="L166" s="30"/>
      <c r="M166" s="30"/>
      <c r="N166" s="30"/>
      <c r="O166" s="31"/>
      <c r="P166" s="32"/>
      <c r="Q166" s="5"/>
      <c r="R166" s="10"/>
    </row>
    <row r="167" spans="1:18" ht="39.6">
      <c r="A167" s="20" t="str">
        <f t="shared" si="90"/>
        <v>RESP</v>
      </c>
      <c r="B167" s="20" t="str">
        <f t="shared" si="91"/>
        <v>INIT</v>
      </c>
      <c r="C167" s="20" t="str">
        <f t="shared" si="92"/>
        <v/>
      </c>
      <c r="D167" s="5"/>
      <c r="E167" s="28" t="s">
        <v>289</v>
      </c>
      <c r="F167" s="36" t="s">
        <v>290</v>
      </c>
      <c r="G167" s="30" t="s">
        <v>46</v>
      </c>
      <c r="H167" s="30" t="s">
        <v>281</v>
      </c>
      <c r="I167" s="30" t="s">
        <v>282</v>
      </c>
      <c r="J167" s="30"/>
      <c r="K167" s="30" t="s">
        <v>50</v>
      </c>
      <c r="L167" s="30"/>
      <c r="M167" s="30"/>
      <c r="N167" s="30"/>
      <c r="O167" s="31"/>
      <c r="P167" s="32"/>
      <c r="Q167" s="5"/>
      <c r="R167" s="10"/>
    </row>
    <row r="168" spans="1:18">
      <c r="A168" s="20" t="str">
        <f t="shared" si="90"/>
        <v>RESP</v>
      </c>
      <c r="B168" s="20" t="str">
        <f t="shared" si="91"/>
        <v>INIT</v>
      </c>
      <c r="C168" s="20" t="str">
        <f t="shared" si="92"/>
        <v/>
      </c>
      <c r="D168" s="5"/>
      <c r="E168" s="28" t="s">
        <v>291</v>
      </c>
      <c r="F168" s="36" t="s">
        <v>292</v>
      </c>
      <c r="G168" s="30" t="s">
        <v>46</v>
      </c>
      <c r="H168" s="30" t="s">
        <v>281</v>
      </c>
      <c r="I168" s="30" t="s">
        <v>282</v>
      </c>
      <c r="J168" s="30"/>
      <c r="K168" s="30" t="s">
        <v>50</v>
      </c>
      <c r="L168" s="30"/>
      <c r="M168" s="30"/>
      <c r="N168" s="30"/>
      <c r="O168" s="31"/>
      <c r="P168" s="32"/>
      <c r="Q168" s="5"/>
      <c r="R168" s="10"/>
    </row>
    <row r="169" spans="1:18">
      <c r="A169" s="20" t="str">
        <f t="shared" si="90"/>
        <v>RESP</v>
      </c>
      <c r="B169" s="20" t="str">
        <f t="shared" si="91"/>
        <v>INIT</v>
      </c>
      <c r="C169" s="20" t="str">
        <f t="shared" si="92"/>
        <v/>
      </c>
      <c r="D169" s="5"/>
      <c r="E169" s="28" t="s">
        <v>293</v>
      </c>
      <c r="F169" s="36" t="s">
        <v>294</v>
      </c>
      <c r="G169" s="30" t="s">
        <v>46</v>
      </c>
      <c r="H169" s="30" t="s">
        <v>281</v>
      </c>
      <c r="I169" s="30" t="s">
        <v>282</v>
      </c>
      <c r="J169" s="30"/>
      <c r="K169" s="30" t="s">
        <v>50</v>
      </c>
      <c r="L169" s="30"/>
      <c r="M169" s="30"/>
      <c r="N169" s="30"/>
      <c r="O169" s="31"/>
      <c r="P169" s="32"/>
      <c r="Q169" s="5"/>
      <c r="R169" s="10"/>
    </row>
    <row r="170" spans="1:18">
      <c r="A170" s="20" t="str">
        <f t="shared" si="90"/>
        <v>RESP</v>
      </c>
      <c r="B170" s="20" t="str">
        <f t="shared" si="91"/>
        <v>INIT</v>
      </c>
      <c r="C170" s="20" t="str">
        <f t="shared" si="92"/>
        <v/>
      </c>
      <c r="D170" s="5"/>
      <c r="E170" s="28" t="s">
        <v>295</v>
      </c>
      <c r="F170" s="36" t="s">
        <v>296</v>
      </c>
      <c r="G170" s="30" t="s">
        <v>46</v>
      </c>
      <c r="H170" s="30" t="s">
        <v>281</v>
      </c>
      <c r="I170" s="30" t="s">
        <v>282</v>
      </c>
      <c r="J170" s="30"/>
      <c r="K170" s="30" t="s">
        <v>50</v>
      </c>
      <c r="L170" s="30"/>
      <c r="M170" s="30"/>
      <c r="N170" s="30"/>
      <c r="O170" s="31"/>
      <c r="P170" s="32"/>
      <c r="Q170" s="5"/>
      <c r="R170" s="10"/>
    </row>
    <row r="171" spans="1:18" ht="26.45">
      <c r="A171" s="20" t="str">
        <f t="shared" si="90"/>
        <v>RESP</v>
      </c>
      <c r="B171" s="20" t="str">
        <f t="shared" si="91"/>
        <v>INIT</v>
      </c>
      <c r="C171" s="20" t="str">
        <f t="shared" si="92"/>
        <v/>
      </c>
      <c r="D171" s="5"/>
      <c r="E171" s="28" t="s">
        <v>297</v>
      </c>
      <c r="F171" s="36" t="s">
        <v>298</v>
      </c>
      <c r="G171" s="30" t="s">
        <v>46</v>
      </c>
      <c r="H171" s="30" t="s">
        <v>281</v>
      </c>
      <c r="I171" s="30" t="s">
        <v>282</v>
      </c>
      <c r="J171" s="30"/>
      <c r="K171" s="30" t="s">
        <v>50</v>
      </c>
      <c r="L171" s="30"/>
      <c r="M171" s="30"/>
      <c r="N171" s="30"/>
      <c r="O171" s="31"/>
      <c r="P171" s="32"/>
      <c r="Q171" s="5"/>
      <c r="R171" s="10"/>
    </row>
    <row r="172" spans="1:18" ht="26.45">
      <c r="A172" s="20" t="str">
        <f t="shared" si="90"/>
        <v>RESP</v>
      </c>
      <c r="B172" s="20" t="str">
        <f t="shared" si="91"/>
        <v>INIT</v>
      </c>
      <c r="C172" s="20" t="str">
        <f t="shared" si="92"/>
        <v/>
      </c>
      <c r="D172" s="5"/>
      <c r="E172" s="28" t="s">
        <v>299</v>
      </c>
      <c r="F172" s="36" t="s">
        <v>300</v>
      </c>
      <c r="G172" s="30" t="s">
        <v>46</v>
      </c>
      <c r="H172" s="30" t="s">
        <v>281</v>
      </c>
      <c r="I172" s="30" t="s">
        <v>282</v>
      </c>
      <c r="J172" s="30"/>
      <c r="K172" s="30" t="s">
        <v>50</v>
      </c>
      <c r="L172" s="30"/>
      <c r="M172" s="30"/>
      <c r="N172" s="30"/>
      <c r="O172" s="31"/>
      <c r="P172" s="32"/>
      <c r="Q172" s="5"/>
      <c r="R172" s="10"/>
    </row>
    <row r="173" spans="1:18" ht="39.6">
      <c r="A173" s="20" t="str">
        <f t="shared" si="90"/>
        <v>RESP</v>
      </c>
      <c r="B173" s="20" t="str">
        <f t="shared" si="91"/>
        <v>INIT</v>
      </c>
      <c r="C173" s="20" t="str">
        <f t="shared" si="92"/>
        <v/>
      </c>
      <c r="D173" s="5"/>
      <c r="E173" s="28" t="s">
        <v>301</v>
      </c>
      <c r="F173" s="36" t="s">
        <v>302</v>
      </c>
      <c r="G173" s="30" t="s">
        <v>234</v>
      </c>
      <c r="H173" s="30" t="s">
        <v>303</v>
      </c>
      <c r="I173" s="30" t="s">
        <v>282</v>
      </c>
      <c r="J173" s="30"/>
      <c r="K173" s="30" t="s">
        <v>50</v>
      </c>
      <c r="L173" s="30"/>
      <c r="M173" s="30"/>
      <c r="N173" s="30"/>
      <c r="O173" s="31"/>
      <c r="P173" s="32"/>
      <c r="Q173" s="5"/>
      <c r="R173" s="10"/>
    </row>
    <row r="174" spans="1:18">
      <c r="A174" s="20" t="str">
        <f t="shared" si="90"/>
        <v>RESP</v>
      </c>
      <c r="B174" s="20" t="str">
        <f t="shared" si="91"/>
        <v>INIT</v>
      </c>
      <c r="C174" s="20" t="str">
        <f t="shared" si="92"/>
        <v/>
      </c>
      <c r="D174" s="5"/>
      <c r="E174" s="28" t="s">
        <v>304</v>
      </c>
      <c r="F174" s="36" t="s">
        <v>305</v>
      </c>
      <c r="G174" s="30" t="s">
        <v>234</v>
      </c>
      <c r="H174" s="30" t="s">
        <v>303</v>
      </c>
      <c r="I174" s="30" t="s">
        <v>282</v>
      </c>
      <c r="J174" s="30"/>
      <c r="K174" s="30" t="s">
        <v>47</v>
      </c>
      <c r="L174" s="30"/>
      <c r="M174" s="30"/>
      <c r="N174" s="30"/>
      <c r="O174" s="31"/>
      <c r="P174" s="32"/>
      <c r="Q174" s="5"/>
      <c r="R174" s="10"/>
    </row>
    <row r="175" spans="1:18" ht="52.5">
      <c r="A175" s="20" t="str">
        <f t="shared" si="90"/>
        <v>RESP</v>
      </c>
      <c r="B175" s="20" t="str">
        <f t="shared" si="91"/>
        <v>INIT</v>
      </c>
      <c r="C175" s="20" t="str">
        <f t="shared" si="92"/>
        <v/>
      </c>
      <c r="D175" s="5"/>
      <c r="E175" s="28" t="s">
        <v>306</v>
      </c>
      <c r="F175" s="36" t="s">
        <v>307</v>
      </c>
      <c r="G175" s="30" t="s">
        <v>234</v>
      </c>
      <c r="H175" s="30" t="s">
        <v>303</v>
      </c>
      <c r="I175" s="30" t="s">
        <v>282</v>
      </c>
      <c r="J175" s="30"/>
      <c r="K175" s="30" t="s">
        <v>50</v>
      </c>
      <c r="L175" s="30"/>
      <c r="M175" s="30"/>
      <c r="N175" s="30"/>
      <c r="O175" s="31"/>
      <c r="P175" s="32"/>
      <c r="Q175" s="5"/>
      <c r="R175" s="10"/>
    </row>
    <row r="176" spans="1:18" ht="26.45">
      <c r="A176" s="20" t="str">
        <f t="shared" si="90"/>
        <v>RESP</v>
      </c>
      <c r="B176" s="20" t="str">
        <f t="shared" si="91"/>
        <v>INIT</v>
      </c>
      <c r="C176" s="20" t="str">
        <f t="shared" si="92"/>
        <v/>
      </c>
      <c r="D176" s="5"/>
      <c r="E176" s="28" t="s">
        <v>308</v>
      </c>
      <c r="F176" s="36" t="s">
        <v>309</v>
      </c>
      <c r="G176" s="30" t="s">
        <v>234</v>
      </c>
      <c r="H176" s="30" t="s">
        <v>303</v>
      </c>
      <c r="I176" s="30" t="s">
        <v>282</v>
      </c>
      <c r="J176" s="30"/>
      <c r="K176" s="30" t="s">
        <v>50</v>
      </c>
      <c r="L176" s="30"/>
      <c r="M176" s="30"/>
      <c r="N176" s="30"/>
      <c r="O176" s="31"/>
      <c r="P176" s="32"/>
      <c r="Q176" s="5"/>
      <c r="R176" s="10"/>
    </row>
    <row r="177" spans="1:18" ht="26.45">
      <c r="A177" s="20" t="str">
        <f t="shared" si="90"/>
        <v>RESP</v>
      </c>
      <c r="B177" s="20" t="str">
        <f t="shared" si="91"/>
        <v>INIT</v>
      </c>
      <c r="C177" s="20" t="str">
        <f t="shared" si="92"/>
        <v/>
      </c>
      <c r="D177" s="5"/>
      <c r="E177" s="28" t="s">
        <v>310</v>
      </c>
      <c r="F177" s="36" t="s">
        <v>311</v>
      </c>
      <c r="G177" s="30" t="s">
        <v>234</v>
      </c>
      <c r="H177" s="30" t="s">
        <v>312</v>
      </c>
      <c r="I177" s="30" t="s">
        <v>46</v>
      </c>
      <c r="J177" s="30"/>
      <c r="K177" s="30" t="s">
        <v>50</v>
      </c>
      <c r="L177" s="30"/>
      <c r="M177" s="30"/>
      <c r="N177" s="30"/>
      <c r="O177" s="31"/>
      <c r="P177" s="32"/>
      <c r="Q177" s="5"/>
      <c r="R177" s="10"/>
    </row>
    <row r="178" spans="1:18">
      <c r="A178" s="20" t="str">
        <f t="shared" ref="A178" si="93">IF(J178="","RESP","")</f>
        <v>RESP</v>
      </c>
      <c r="B178" s="20" t="str">
        <f t="shared" ref="B178" si="94">IF(M178="","INIT","")</f>
        <v>INIT</v>
      </c>
      <c r="C178" s="20" t="str">
        <f t="shared" ref="C178" si="95">IF(AND(J178="NO",O178=""),"CMTS","")</f>
        <v/>
      </c>
      <c r="D178" s="5"/>
      <c r="E178" s="28" t="s">
        <v>313</v>
      </c>
      <c r="F178" s="36" t="s">
        <v>314</v>
      </c>
      <c r="G178" s="30" t="s">
        <v>234</v>
      </c>
      <c r="H178" s="30" t="s">
        <v>315</v>
      </c>
      <c r="I178" s="30" t="s">
        <v>46</v>
      </c>
      <c r="J178" s="30"/>
      <c r="K178" s="30" t="s">
        <v>50</v>
      </c>
      <c r="L178" s="30"/>
      <c r="M178" s="30"/>
      <c r="N178" s="30"/>
      <c r="O178" s="31"/>
      <c r="P178" s="32"/>
      <c r="Q178" s="5"/>
      <c r="R178" s="10"/>
    </row>
    <row r="179" spans="1:18" ht="26.45">
      <c r="A179" s="20" t="str">
        <f t="shared" si="90"/>
        <v>RESP</v>
      </c>
      <c r="B179" s="20" t="str">
        <f t="shared" si="91"/>
        <v>INIT</v>
      </c>
      <c r="C179" s="20" t="str">
        <f t="shared" si="92"/>
        <v/>
      </c>
      <c r="D179" s="5"/>
      <c r="E179" s="28" t="s">
        <v>316</v>
      </c>
      <c r="F179" s="36" t="s">
        <v>317</v>
      </c>
      <c r="G179" s="30" t="s">
        <v>234</v>
      </c>
      <c r="H179" s="30" t="s">
        <v>315</v>
      </c>
      <c r="I179" s="30" t="s">
        <v>46</v>
      </c>
      <c r="J179" s="30"/>
      <c r="K179" s="30" t="s">
        <v>50</v>
      </c>
      <c r="L179" s="30"/>
      <c r="M179" s="30"/>
      <c r="N179" s="30"/>
      <c r="O179" s="31"/>
      <c r="P179" s="32"/>
      <c r="Q179" s="5"/>
      <c r="R179" s="10"/>
    </row>
    <row r="180" spans="1:18" ht="39.6">
      <c r="A180" s="20" t="str">
        <f t="shared" si="90"/>
        <v>RESP</v>
      </c>
      <c r="B180" s="20" t="str">
        <f t="shared" si="91"/>
        <v>INIT</v>
      </c>
      <c r="C180" s="20" t="str">
        <f t="shared" si="92"/>
        <v/>
      </c>
      <c r="D180" s="5"/>
      <c r="E180" s="28" t="s">
        <v>318</v>
      </c>
      <c r="F180" s="36" t="s">
        <v>319</v>
      </c>
      <c r="G180" s="30" t="s">
        <v>234</v>
      </c>
      <c r="H180" s="30" t="s">
        <v>315</v>
      </c>
      <c r="I180" s="30" t="s">
        <v>46</v>
      </c>
      <c r="J180" s="30"/>
      <c r="K180" s="30" t="s">
        <v>50</v>
      </c>
      <c r="L180" s="30"/>
      <c r="M180" s="30"/>
      <c r="N180" s="30"/>
      <c r="O180" s="31"/>
      <c r="P180" s="32"/>
      <c r="Q180" s="5"/>
      <c r="R180" s="10"/>
    </row>
    <row r="181" spans="1:18" ht="130.5">
      <c r="A181" s="20" t="str">
        <f t="shared" si="90"/>
        <v>RESP</v>
      </c>
      <c r="B181" s="20" t="str">
        <f t="shared" si="91"/>
        <v>INIT</v>
      </c>
      <c r="C181" s="20" t="str">
        <f t="shared" si="92"/>
        <v/>
      </c>
      <c r="E181" s="37" t="s">
        <v>320</v>
      </c>
      <c r="F181" s="39" t="s">
        <v>321</v>
      </c>
      <c r="G181" s="30" t="s">
        <v>46</v>
      </c>
      <c r="H181" s="30" t="s">
        <v>281</v>
      </c>
      <c r="I181" s="30" t="s">
        <v>261</v>
      </c>
      <c r="J181" s="30"/>
      <c r="K181" s="30" t="s">
        <v>47</v>
      </c>
      <c r="L181" s="30"/>
      <c r="M181" s="30"/>
      <c r="N181" s="30"/>
      <c r="O181" s="31"/>
      <c r="P181" s="32"/>
      <c r="Q181" s="5"/>
      <c r="R181" s="10"/>
    </row>
    <row r="182" spans="1:18" ht="26.45">
      <c r="A182" s="20" t="str">
        <f t="shared" si="90"/>
        <v>RESP</v>
      </c>
      <c r="B182" s="20" t="str">
        <f t="shared" si="91"/>
        <v>INIT</v>
      </c>
      <c r="C182" s="20" t="str">
        <f t="shared" si="92"/>
        <v/>
      </c>
      <c r="E182" s="37" t="s">
        <v>322</v>
      </c>
      <c r="F182" s="39" t="s">
        <v>323</v>
      </c>
      <c r="G182" s="30" t="s">
        <v>46</v>
      </c>
      <c r="H182" s="30" t="s">
        <v>281</v>
      </c>
      <c r="I182" s="30" t="s">
        <v>261</v>
      </c>
      <c r="J182" s="30"/>
      <c r="K182" s="30" t="s">
        <v>50</v>
      </c>
      <c r="L182" s="30"/>
      <c r="M182" s="30"/>
      <c r="N182" s="30"/>
      <c r="O182" s="31"/>
      <c r="P182" s="32"/>
      <c r="Q182" s="5"/>
      <c r="R182" s="10"/>
    </row>
    <row r="183" spans="1:18">
      <c r="A183" s="20" t="str">
        <f t="shared" si="90"/>
        <v>RESP</v>
      </c>
      <c r="B183" s="20" t="str">
        <f t="shared" si="91"/>
        <v>INIT</v>
      </c>
      <c r="C183" s="20" t="str">
        <f t="shared" si="92"/>
        <v/>
      </c>
      <c r="E183" s="37" t="s">
        <v>324</v>
      </c>
      <c r="F183" s="39" t="s">
        <v>325</v>
      </c>
      <c r="G183" s="30" t="s">
        <v>46</v>
      </c>
      <c r="H183" s="30" t="s">
        <v>281</v>
      </c>
      <c r="I183" s="30" t="s">
        <v>261</v>
      </c>
      <c r="J183" s="30"/>
      <c r="K183" s="30" t="s">
        <v>50</v>
      </c>
      <c r="L183" s="30"/>
      <c r="M183" s="30"/>
      <c r="N183" s="30"/>
      <c r="O183" s="31"/>
      <c r="P183" s="32"/>
      <c r="Q183" s="5"/>
      <c r="R183" s="10"/>
    </row>
    <row r="184" spans="1:18">
      <c r="A184" s="20" t="str">
        <f t="shared" si="90"/>
        <v>RESP</v>
      </c>
      <c r="B184" s="20" t="str">
        <f t="shared" si="91"/>
        <v>INIT</v>
      </c>
      <c r="C184" s="20" t="str">
        <f t="shared" si="92"/>
        <v/>
      </c>
      <c r="E184" s="37" t="s">
        <v>326</v>
      </c>
      <c r="F184" s="39" t="s">
        <v>327</v>
      </c>
      <c r="G184" s="30" t="s">
        <v>46</v>
      </c>
      <c r="H184" s="30" t="s">
        <v>281</v>
      </c>
      <c r="I184" s="30" t="s">
        <v>261</v>
      </c>
      <c r="J184" s="30"/>
      <c r="K184" s="30" t="s">
        <v>47</v>
      </c>
      <c r="L184" s="30"/>
      <c r="M184" s="30"/>
      <c r="N184" s="30"/>
      <c r="O184" s="31"/>
      <c r="P184" s="32"/>
      <c r="Q184" s="5"/>
      <c r="R184" s="10"/>
    </row>
    <row r="185" spans="1:18">
      <c r="A185" s="20" t="str">
        <f t="shared" si="90"/>
        <v>RESP</v>
      </c>
      <c r="B185" s="20" t="str">
        <f t="shared" si="91"/>
        <v>INIT</v>
      </c>
      <c r="C185" s="20" t="str">
        <f t="shared" si="92"/>
        <v/>
      </c>
      <c r="E185" s="37" t="s">
        <v>328</v>
      </c>
      <c r="F185" s="39" t="s">
        <v>329</v>
      </c>
      <c r="G185" s="30" t="s">
        <v>46</v>
      </c>
      <c r="H185" s="30" t="s">
        <v>281</v>
      </c>
      <c r="I185" s="30" t="s">
        <v>261</v>
      </c>
      <c r="J185" s="30"/>
      <c r="K185" s="30" t="s">
        <v>47</v>
      </c>
      <c r="L185" s="30"/>
      <c r="M185" s="30"/>
      <c r="N185" s="30"/>
      <c r="O185" s="31"/>
      <c r="P185" s="32"/>
      <c r="Q185" s="5"/>
      <c r="R185" s="10"/>
    </row>
    <row r="186" spans="1:18" ht="39.6">
      <c r="A186" s="20" t="str">
        <f t="shared" si="90"/>
        <v>RESP</v>
      </c>
      <c r="B186" s="20" t="str">
        <f t="shared" si="91"/>
        <v>INIT</v>
      </c>
      <c r="C186" s="20" t="str">
        <f t="shared" si="92"/>
        <v/>
      </c>
      <c r="E186" s="37" t="s">
        <v>330</v>
      </c>
      <c r="F186" s="39" t="s">
        <v>331</v>
      </c>
      <c r="G186" s="30" t="s">
        <v>46</v>
      </c>
      <c r="H186" s="30" t="s">
        <v>281</v>
      </c>
      <c r="I186" s="30" t="s">
        <v>261</v>
      </c>
      <c r="J186" s="30"/>
      <c r="K186" s="30" t="s">
        <v>47</v>
      </c>
      <c r="L186" s="30"/>
      <c r="M186" s="30"/>
      <c r="N186" s="30"/>
      <c r="O186" s="31"/>
      <c r="P186" s="32"/>
      <c r="Q186" s="5"/>
      <c r="R186" s="10"/>
    </row>
    <row r="187" spans="1:18" ht="26.45">
      <c r="A187" s="20" t="str">
        <f t="shared" ref="A187:A197" si="96">IF(J187="","RESP","")</f>
        <v>RESP</v>
      </c>
      <c r="B187" s="20" t="str">
        <f t="shared" ref="B187:B197" si="97">IF(M187="","INIT","")</f>
        <v>INIT</v>
      </c>
      <c r="C187" s="20" t="str">
        <f t="shared" ref="C187:C197" si="98">IF(AND(J187="NO",O187=""),"CMTS","")</f>
        <v/>
      </c>
      <c r="E187" s="37" t="s">
        <v>332</v>
      </c>
      <c r="F187" s="39" t="s">
        <v>333</v>
      </c>
      <c r="G187" s="30" t="s">
        <v>46</v>
      </c>
      <c r="H187" s="30" t="s">
        <v>281</v>
      </c>
      <c r="I187" s="30" t="s">
        <v>261</v>
      </c>
      <c r="J187" s="30"/>
      <c r="K187" s="30" t="s">
        <v>47</v>
      </c>
      <c r="L187" s="30"/>
      <c r="M187" s="30"/>
      <c r="N187" s="30"/>
      <c r="O187" s="31"/>
      <c r="P187" s="32"/>
      <c r="Q187" s="5"/>
      <c r="R187" s="10"/>
    </row>
    <row r="188" spans="1:18" ht="26.45">
      <c r="A188" s="20" t="str">
        <f t="shared" si="96"/>
        <v>RESP</v>
      </c>
      <c r="B188" s="20" t="str">
        <f t="shared" si="97"/>
        <v>INIT</v>
      </c>
      <c r="C188" s="20" t="str">
        <f t="shared" si="98"/>
        <v/>
      </c>
      <c r="E188" s="37" t="s">
        <v>334</v>
      </c>
      <c r="F188" s="39" t="s">
        <v>335</v>
      </c>
      <c r="G188" s="30" t="s">
        <v>46</v>
      </c>
      <c r="H188" s="30" t="s">
        <v>281</v>
      </c>
      <c r="I188" s="30" t="s">
        <v>261</v>
      </c>
      <c r="J188" s="30"/>
      <c r="K188" s="30" t="s">
        <v>50</v>
      </c>
      <c r="L188" s="30"/>
      <c r="M188" s="30"/>
      <c r="N188" s="30"/>
      <c r="O188" s="31"/>
      <c r="P188" s="32"/>
      <c r="Q188" s="5"/>
      <c r="R188" s="10"/>
    </row>
    <row r="189" spans="1:18" ht="26.45">
      <c r="A189" s="20" t="str">
        <f t="shared" si="96"/>
        <v>RESP</v>
      </c>
      <c r="B189" s="20" t="str">
        <f t="shared" si="97"/>
        <v>INIT</v>
      </c>
      <c r="C189" s="20" t="str">
        <f t="shared" si="98"/>
        <v/>
      </c>
      <c r="E189" s="37" t="s">
        <v>336</v>
      </c>
      <c r="F189" s="39" t="s">
        <v>337</v>
      </c>
      <c r="G189" s="30" t="s">
        <v>46</v>
      </c>
      <c r="H189" s="30" t="s">
        <v>281</v>
      </c>
      <c r="I189" s="30" t="s">
        <v>261</v>
      </c>
      <c r="J189" s="30"/>
      <c r="K189" s="30" t="s">
        <v>47</v>
      </c>
      <c r="L189" s="30"/>
      <c r="M189" s="30"/>
      <c r="N189" s="30"/>
      <c r="O189" s="31"/>
      <c r="P189" s="32"/>
      <c r="Q189" s="5"/>
      <c r="R189" s="10"/>
    </row>
    <row r="190" spans="1:18" ht="26.45">
      <c r="A190" s="20" t="str">
        <f t="shared" si="96"/>
        <v>RESP</v>
      </c>
      <c r="B190" s="20" t="str">
        <f t="shared" si="97"/>
        <v>INIT</v>
      </c>
      <c r="C190" s="20" t="str">
        <f t="shared" si="98"/>
        <v/>
      </c>
      <c r="E190" s="37" t="s">
        <v>338</v>
      </c>
      <c r="F190" s="39" t="s">
        <v>339</v>
      </c>
      <c r="G190" s="30" t="s">
        <v>46</v>
      </c>
      <c r="H190" s="30" t="s">
        <v>281</v>
      </c>
      <c r="I190" s="30" t="s">
        <v>261</v>
      </c>
      <c r="J190" s="30"/>
      <c r="K190" s="30" t="s">
        <v>50</v>
      </c>
      <c r="L190" s="30"/>
      <c r="M190" s="30"/>
      <c r="N190" s="30"/>
      <c r="O190" s="31"/>
      <c r="P190" s="32"/>
      <c r="Q190" s="5"/>
      <c r="R190" s="10"/>
    </row>
    <row r="191" spans="1:18" ht="39.6">
      <c r="A191" s="20" t="str">
        <f t="shared" si="96"/>
        <v>RESP</v>
      </c>
      <c r="B191" s="20" t="str">
        <f t="shared" si="97"/>
        <v>INIT</v>
      </c>
      <c r="C191" s="20" t="str">
        <f t="shared" si="98"/>
        <v/>
      </c>
      <c r="E191" s="37" t="s">
        <v>340</v>
      </c>
      <c r="F191" s="39" t="s">
        <v>341</v>
      </c>
      <c r="G191" s="30" t="s">
        <v>46</v>
      </c>
      <c r="H191" s="30" t="s">
        <v>281</v>
      </c>
      <c r="I191" s="30" t="s">
        <v>261</v>
      </c>
      <c r="J191" s="30"/>
      <c r="K191" s="30" t="s">
        <v>47</v>
      </c>
      <c r="L191" s="30"/>
      <c r="M191" s="30"/>
      <c r="N191" s="30"/>
      <c r="O191" s="31"/>
      <c r="P191" s="32"/>
      <c r="Q191" s="5"/>
      <c r="R191" s="10"/>
    </row>
    <row r="192" spans="1:18" ht="26.45">
      <c r="A192" s="20" t="str">
        <f t="shared" si="96"/>
        <v>RESP</v>
      </c>
      <c r="B192" s="20" t="str">
        <f t="shared" si="97"/>
        <v>INIT</v>
      </c>
      <c r="C192" s="20" t="str">
        <f t="shared" si="98"/>
        <v/>
      </c>
      <c r="E192" s="37" t="s">
        <v>342</v>
      </c>
      <c r="F192" s="39" t="s">
        <v>343</v>
      </c>
      <c r="G192" s="30" t="s">
        <v>46</v>
      </c>
      <c r="H192" s="30" t="s">
        <v>281</v>
      </c>
      <c r="I192" s="30" t="s">
        <v>261</v>
      </c>
      <c r="J192" s="30"/>
      <c r="K192" s="30" t="s">
        <v>47</v>
      </c>
      <c r="L192" s="30"/>
      <c r="M192" s="30"/>
      <c r="N192" s="30"/>
      <c r="O192" s="31"/>
      <c r="P192" s="32"/>
      <c r="Q192" s="5"/>
      <c r="R192" s="10"/>
    </row>
    <row r="193" spans="1:18">
      <c r="A193" s="20" t="str">
        <f t="shared" si="96"/>
        <v>RESP</v>
      </c>
      <c r="B193" s="20" t="str">
        <f t="shared" si="97"/>
        <v>INIT</v>
      </c>
      <c r="C193" s="20" t="str">
        <f t="shared" si="98"/>
        <v/>
      </c>
      <c r="E193" s="37" t="s">
        <v>344</v>
      </c>
      <c r="F193" s="39" t="s">
        <v>345</v>
      </c>
      <c r="G193" s="30" t="s">
        <v>46</v>
      </c>
      <c r="H193" s="30" t="s">
        <v>281</v>
      </c>
      <c r="I193" s="30" t="s">
        <v>261</v>
      </c>
      <c r="J193" s="30"/>
      <c r="K193" s="30" t="s">
        <v>50</v>
      </c>
      <c r="L193" s="30"/>
      <c r="M193" s="30"/>
      <c r="N193" s="30"/>
      <c r="O193" s="31"/>
      <c r="P193" s="32"/>
      <c r="Q193" s="5"/>
      <c r="R193" s="10"/>
    </row>
    <row r="194" spans="1:18" ht="130.5">
      <c r="A194" s="20" t="str">
        <f t="shared" si="96"/>
        <v>RESP</v>
      </c>
      <c r="B194" s="20" t="str">
        <f t="shared" si="97"/>
        <v>INIT</v>
      </c>
      <c r="C194" s="20" t="str">
        <f t="shared" si="98"/>
        <v/>
      </c>
      <c r="E194" s="37" t="s">
        <v>346</v>
      </c>
      <c r="F194" s="39" t="s">
        <v>347</v>
      </c>
      <c r="G194" s="30" t="s">
        <v>234</v>
      </c>
      <c r="H194" s="30" t="s">
        <v>348</v>
      </c>
      <c r="I194" s="30" t="s">
        <v>261</v>
      </c>
      <c r="J194" s="30"/>
      <c r="K194" s="30" t="s">
        <v>50</v>
      </c>
      <c r="L194" s="30"/>
      <c r="M194" s="30"/>
      <c r="N194" s="30"/>
      <c r="O194" s="31"/>
      <c r="P194" s="32"/>
      <c r="Q194" s="5"/>
      <c r="R194" s="10"/>
    </row>
    <row r="195" spans="1:18" ht="39.6">
      <c r="A195" s="20" t="str">
        <f t="shared" si="96"/>
        <v>RESP</v>
      </c>
      <c r="B195" s="20" t="str">
        <f t="shared" si="97"/>
        <v>INIT</v>
      </c>
      <c r="C195" s="20" t="str">
        <f t="shared" si="98"/>
        <v/>
      </c>
      <c r="E195" s="37" t="s">
        <v>349</v>
      </c>
      <c r="F195" s="39" t="s">
        <v>350</v>
      </c>
      <c r="G195" s="30" t="s">
        <v>46</v>
      </c>
      <c r="H195" s="30" t="s">
        <v>348</v>
      </c>
      <c r="I195" s="30" t="s">
        <v>261</v>
      </c>
      <c r="J195" s="30"/>
      <c r="K195" s="30" t="s">
        <v>50</v>
      </c>
      <c r="L195" s="30"/>
      <c r="M195" s="30"/>
      <c r="N195" s="30"/>
      <c r="O195" s="31"/>
      <c r="P195" s="32"/>
      <c r="Q195" s="5"/>
      <c r="R195" s="10"/>
    </row>
    <row r="196" spans="1:18" ht="78.599999999999994">
      <c r="A196" s="20" t="str">
        <f t="shared" si="96"/>
        <v>RESP</v>
      </c>
      <c r="B196" s="20" t="str">
        <f t="shared" si="97"/>
        <v>INIT</v>
      </c>
      <c r="C196" s="20" t="str">
        <f t="shared" si="98"/>
        <v/>
      </c>
      <c r="E196" s="37" t="s">
        <v>351</v>
      </c>
      <c r="F196" s="39" t="s">
        <v>352</v>
      </c>
      <c r="G196" s="30" t="s">
        <v>46</v>
      </c>
      <c r="H196" s="30" t="s">
        <v>353</v>
      </c>
      <c r="I196" s="30" t="s">
        <v>261</v>
      </c>
      <c r="J196" s="30"/>
      <c r="K196" s="30" t="s">
        <v>50</v>
      </c>
      <c r="L196" s="30"/>
      <c r="M196" s="30"/>
      <c r="N196" s="30"/>
      <c r="O196" s="31"/>
      <c r="P196" s="32"/>
      <c r="Q196" s="5"/>
      <c r="R196" s="10"/>
    </row>
    <row r="197" spans="1:18" ht="52.5">
      <c r="A197" s="20" t="str">
        <f t="shared" si="96"/>
        <v>RESP</v>
      </c>
      <c r="B197" s="20" t="str">
        <f t="shared" si="97"/>
        <v>INIT</v>
      </c>
      <c r="C197" s="20" t="str">
        <f t="shared" si="98"/>
        <v/>
      </c>
      <c r="E197" s="37" t="s">
        <v>354</v>
      </c>
      <c r="F197" s="39" t="s">
        <v>355</v>
      </c>
      <c r="G197" s="30" t="s">
        <v>46</v>
      </c>
      <c r="H197" s="30" t="s">
        <v>356</v>
      </c>
      <c r="I197" s="30" t="s">
        <v>261</v>
      </c>
      <c r="J197" s="30"/>
      <c r="K197" s="30" t="s">
        <v>47</v>
      </c>
      <c r="L197" s="30"/>
      <c r="M197" s="30"/>
      <c r="N197" s="30"/>
      <c r="O197" s="31"/>
      <c r="P197" s="32"/>
      <c r="Q197" s="5"/>
      <c r="R197" s="10"/>
    </row>
    <row r="198" spans="1:18">
      <c r="A198" s="20" t="str">
        <f t="shared" ref="A198:A201" si="99">IF(J198="","RESP","")</f>
        <v>RESP</v>
      </c>
      <c r="B198" s="20" t="str">
        <f t="shared" ref="B198:B201" si="100">IF(M198="","INIT","")</f>
        <v>INIT</v>
      </c>
      <c r="C198" s="20" t="str">
        <f t="shared" ref="C198:C201" si="101">IF(AND(J198="NO",O198=""),"CMTS","")</f>
        <v/>
      </c>
      <c r="E198" s="37" t="s">
        <v>357</v>
      </c>
      <c r="F198" s="39" t="s">
        <v>358</v>
      </c>
      <c r="G198" s="30" t="s">
        <v>46</v>
      </c>
      <c r="H198" s="30" t="s">
        <v>312</v>
      </c>
      <c r="I198" s="30" t="s">
        <v>261</v>
      </c>
      <c r="J198" s="30"/>
      <c r="K198" s="30" t="s">
        <v>47</v>
      </c>
      <c r="L198" s="30"/>
      <c r="M198" s="30"/>
      <c r="N198" s="30"/>
      <c r="O198" s="31"/>
      <c r="P198" s="32"/>
      <c r="Q198" s="5"/>
      <c r="R198" s="10"/>
    </row>
    <row r="199" spans="1:18">
      <c r="A199" s="20" t="str">
        <f t="shared" si="99"/>
        <v>RESP</v>
      </c>
      <c r="B199" s="20" t="str">
        <f t="shared" si="100"/>
        <v>INIT</v>
      </c>
      <c r="C199" s="20" t="str">
        <f t="shared" si="101"/>
        <v/>
      </c>
      <c r="E199" s="37" t="s">
        <v>359</v>
      </c>
      <c r="F199" s="39" t="s">
        <v>360</v>
      </c>
      <c r="G199" s="30" t="s">
        <v>46</v>
      </c>
      <c r="H199" s="30" t="s">
        <v>312</v>
      </c>
      <c r="I199" s="30" t="s">
        <v>261</v>
      </c>
      <c r="J199" s="30"/>
      <c r="K199" s="30" t="s">
        <v>47</v>
      </c>
      <c r="L199" s="30"/>
      <c r="M199" s="30"/>
      <c r="N199" s="30"/>
      <c r="O199" s="31"/>
      <c r="P199" s="32"/>
      <c r="Q199" s="5"/>
      <c r="R199" s="10"/>
    </row>
    <row r="200" spans="1:18" ht="156.6">
      <c r="A200" s="20" t="str">
        <f t="shared" si="99"/>
        <v>RESP</v>
      </c>
      <c r="B200" s="20" t="str">
        <f t="shared" si="100"/>
        <v>INIT</v>
      </c>
      <c r="C200" s="20" t="str">
        <f t="shared" si="101"/>
        <v/>
      </c>
      <c r="E200" s="37" t="s">
        <v>361</v>
      </c>
      <c r="F200" s="39" t="s">
        <v>362</v>
      </c>
      <c r="G200" s="30" t="s">
        <v>234</v>
      </c>
      <c r="H200" s="30" t="s">
        <v>312</v>
      </c>
      <c r="I200" s="30" t="s">
        <v>261</v>
      </c>
      <c r="J200" s="30"/>
      <c r="K200" s="30" t="s">
        <v>50</v>
      </c>
      <c r="L200" s="30"/>
      <c r="M200" s="30"/>
      <c r="N200" s="30"/>
      <c r="O200" s="31"/>
      <c r="P200" s="32"/>
      <c r="Q200" s="5"/>
      <c r="R200" s="10"/>
    </row>
    <row r="201" spans="1:18">
      <c r="A201" s="20" t="str">
        <f t="shared" si="99"/>
        <v>RESP</v>
      </c>
      <c r="B201" s="20" t="str">
        <f t="shared" si="100"/>
        <v>INIT</v>
      </c>
      <c r="C201" s="20" t="str">
        <f t="shared" si="101"/>
        <v/>
      </c>
      <c r="E201" s="37" t="s">
        <v>363</v>
      </c>
      <c r="F201" s="39" t="s">
        <v>364</v>
      </c>
      <c r="G201" s="30" t="s">
        <v>234</v>
      </c>
      <c r="H201" s="30" t="s">
        <v>312</v>
      </c>
      <c r="I201" s="30" t="s">
        <v>261</v>
      </c>
      <c r="J201" s="30"/>
      <c r="K201" s="30" t="s">
        <v>50</v>
      </c>
      <c r="L201" s="30"/>
      <c r="M201" s="30"/>
      <c r="N201" s="30"/>
      <c r="O201" s="31"/>
      <c r="P201" s="32"/>
      <c r="Q201" s="5"/>
      <c r="R201" s="10"/>
    </row>
    <row r="202" spans="1:18" ht="65.45">
      <c r="A202" s="20" t="str">
        <f t="shared" ref="A202:A211" si="102">IF(J202="","RESP","")</f>
        <v>RESP</v>
      </c>
      <c r="B202" s="20" t="str">
        <f t="shared" ref="B202:B211" si="103">IF(M202="","INIT","")</f>
        <v>INIT</v>
      </c>
      <c r="C202" s="20" t="str">
        <f t="shared" ref="C202:C211" si="104">IF(AND(J202="NO",O202=""),"CMTS","")</f>
        <v/>
      </c>
      <c r="E202" s="37" t="s">
        <v>365</v>
      </c>
      <c r="F202" s="39" t="s">
        <v>366</v>
      </c>
      <c r="G202" s="30" t="s">
        <v>46</v>
      </c>
      <c r="H202" s="30" t="s">
        <v>315</v>
      </c>
      <c r="I202" s="30" t="s">
        <v>261</v>
      </c>
      <c r="J202" s="30"/>
      <c r="K202" s="30" t="s">
        <v>50</v>
      </c>
      <c r="L202" s="30"/>
      <c r="M202" s="30"/>
      <c r="N202" s="30"/>
      <c r="O202" s="31"/>
      <c r="P202" s="32"/>
      <c r="Q202" s="5"/>
      <c r="R202" s="10"/>
    </row>
    <row r="203" spans="1:18" ht="65.45">
      <c r="A203" s="20" t="str">
        <f t="shared" si="102"/>
        <v>RESP</v>
      </c>
      <c r="B203" s="20" t="str">
        <f t="shared" si="103"/>
        <v>INIT</v>
      </c>
      <c r="C203" s="20" t="str">
        <f t="shared" si="104"/>
        <v/>
      </c>
      <c r="E203" s="37" t="s">
        <v>367</v>
      </c>
      <c r="F203" s="39" t="s">
        <v>368</v>
      </c>
      <c r="G203" s="30" t="s">
        <v>46</v>
      </c>
      <c r="H203" s="30" t="s">
        <v>315</v>
      </c>
      <c r="I203" s="30" t="s">
        <v>261</v>
      </c>
      <c r="J203" s="30"/>
      <c r="K203" s="30" t="s">
        <v>50</v>
      </c>
      <c r="L203" s="30"/>
      <c r="M203" s="30"/>
      <c r="N203" s="30"/>
      <c r="O203" s="31"/>
      <c r="P203" s="32"/>
      <c r="Q203" s="5"/>
      <c r="R203" s="10"/>
    </row>
    <row r="204" spans="1:18" ht="26.45">
      <c r="A204" s="20" t="str">
        <f t="shared" si="102"/>
        <v>RESP</v>
      </c>
      <c r="B204" s="20" t="str">
        <f t="shared" si="103"/>
        <v>INIT</v>
      </c>
      <c r="C204" s="20" t="str">
        <f t="shared" si="104"/>
        <v/>
      </c>
      <c r="E204" s="37" t="s">
        <v>369</v>
      </c>
      <c r="F204" s="39" t="s">
        <v>370</v>
      </c>
      <c r="G204" s="30" t="s">
        <v>46</v>
      </c>
      <c r="H204" s="30" t="s">
        <v>315</v>
      </c>
      <c r="I204" s="30" t="s">
        <v>261</v>
      </c>
      <c r="J204" s="30"/>
      <c r="K204" s="30" t="s">
        <v>50</v>
      </c>
      <c r="L204" s="30"/>
      <c r="M204" s="30"/>
      <c r="N204" s="30"/>
      <c r="O204" s="31"/>
      <c r="P204" s="32"/>
      <c r="Q204" s="5"/>
      <c r="R204" s="10"/>
    </row>
    <row r="205" spans="1:18" ht="39.6">
      <c r="A205" s="20" t="str">
        <f t="shared" si="102"/>
        <v>RESP</v>
      </c>
      <c r="B205" s="20" t="str">
        <f t="shared" si="103"/>
        <v>INIT</v>
      </c>
      <c r="C205" s="20" t="str">
        <f t="shared" si="104"/>
        <v/>
      </c>
      <c r="E205" s="37" t="s">
        <v>371</v>
      </c>
      <c r="F205" s="39" t="s">
        <v>372</v>
      </c>
      <c r="G205" s="30" t="s">
        <v>46</v>
      </c>
      <c r="H205" s="30" t="s">
        <v>315</v>
      </c>
      <c r="I205" s="30" t="s">
        <v>261</v>
      </c>
      <c r="J205" s="30"/>
      <c r="K205" s="30" t="s">
        <v>47</v>
      </c>
      <c r="L205" s="30"/>
      <c r="M205" s="30"/>
      <c r="N205" s="30"/>
      <c r="O205" s="31"/>
      <c r="P205" s="32"/>
      <c r="Q205" s="5"/>
      <c r="R205" s="10"/>
    </row>
    <row r="206" spans="1:18">
      <c r="A206" s="20" t="str">
        <f t="shared" si="102"/>
        <v>RESP</v>
      </c>
      <c r="B206" s="20" t="str">
        <f t="shared" si="103"/>
        <v>INIT</v>
      </c>
      <c r="C206" s="20" t="str">
        <f t="shared" si="104"/>
        <v/>
      </c>
      <c r="E206" s="37" t="s">
        <v>373</v>
      </c>
      <c r="F206" s="39" t="s">
        <v>374</v>
      </c>
      <c r="G206" s="30" t="s">
        <v>46</v>
      </c>
      <c r="H206" s="30" t="s">
        <v>315</v>
      </c>
      <c r="I206" s="30" t="s">
        <v>261</v>
      </c>
      <c r="J206" s="30"/>
      <c r="K206" s="30" t="s">
        <v>47</v>
      </c>
      <c r="L206" s="30"/>
      <c r="M206" s="30"/>
      <c r="N206" s="30"/>
      <c r="O206" s="31"/>
      <c r="P206" s="32"/>
      <c r="Q206" s="5"/>
      <c r="R206" s="10"/>
    </row>
    <row r="207" spans="1:18" ht="78.599999999999994">
      <c r="A207" s="20" t="str">
        <f t="shared" si="102"/>
        <v>RESP</v>
      </c>
      <c r="B207" s="20" t="str">
        <f t="shared" si="103"/>
        <v>INIT</v>
      </c>
      <c r="C207" s="20" t="str">
        <f t="shared" si="104"/>
        <v/>
      </c>
      <c r="E207" s="37" t="s">
        <v>375</v>
      </c>
      <c r="F207" s="39" t="s">
        <v>376</v>
      </c>
      <c r="G207" s="30" t="s">
        <v>46</v>
      </c>
      <c r="H207" s="30" t="s">
        <v>315</v>
      </c>
      <c r="I207" s="30" t="s">
        <v>261</v>
      </c>
      <c r="J207" s="30"/>
      <c r="K207" s="30" t="s">
        <v>50</v>
      </c>
      <c r="L207" s="30"/>
      <c r="M207" s="30"/>
      <c r="N207" s="30"/>
      <c r="O207" s="31"/>
      <c r="P207" s="32"/>
      <c r="Q207" s="5"/>
      <c r="R207" s="10"/>
    </row>
    <row r="208" spans="1:18">
      <c r="A208" s="20" t="str">
        <f t="shared" si="102"/>
        <v>RESP</v>
      </c>
      <c r="B208" s="20" t="str">
        <f t="shared" si="103"/>
        <v>INIT</v>
      </c>
      <c r="C208" s="20" t="str">
        <f t="shared" si="104"/>
        <v/>
      </c>
      <c r="E208" s="37" t="s">
        <v>377</v>
      </c>
      <c r="F208" s="39" t="s">
        <v>378</v>
      </c>
      <c r="G208" s="30" t="s">
        <v>46</v>
      </c>
      <c r="H208" s="30" t="s">
        <v>315</v>
      </c>
      <c r="I208" s="30" t="s">
        <v>261</v>
      </c>
      <c r="J208" s="30"/>
      <c r="K208" s="30" t="s">
        <v>47</v>
      </c>
      <c r="L208" s="30"/>
      <c r="M208" s="30"/>
      <c r="N208" s="30"/>
      <c r="O208" s="31"/>
      <c r="P208" s="32"/>
      <c r="Q208" s="5"/>
      <c r="R208" s="10"/>
    </row>
    <row r="209" spans="1:18">
      <c r="A209" s="20" t="str">
        <f t="shared" si="102"/>
        <v>RESP</v>
      </c>
      <c r="B209" s="20" t="str">
        <f t="shared" si="103"/>
        <v>INIT</v>
      </c>
      <c r="C209" s="20" t="str">
        <f t="shared" si="104"/>
        <v/>
      </c>
      <c r="E209" s="37" t="s">
        <v>379</v>
      </c>
      <c r="F209" s="39" t="s">
        <v>380</v>
      </c>
      <c r="G209" s="30" t="s">
        <v>46</v>
      </c>
      <c r="H209" s="30" t="s">
        <v>315</v>
      </c>
      <c r="I209" s="30" t="s">
        <v>261</v>
      </c>
      <c r="J209" s="30"/>
      <c r="K209" s="30" t="s">
        <v>50</v>
      </c>
      <c r="L209" s="30"/>
      <c r="M209" s="30"/>
      <c r="N209" s="30"/>
      <c r="O209" s="31"/>
      <c r="P209" s="32"/>
      <c r="Q209" s="5"/>
      <c r="R209" s="10"/>
    </row>
    <row r="210" spans="1:18">
      <c r="A210" s="20" t="str">
        <f t="shared" si="102"/>
        <v>RESP</v>
      </c>
      <c r="B210" s="20" t="str">
        <f t="shared" si="103"/>
        <v>INIT</v>
      </c>
      <c r="C210" s="20" t="str">
        <f t="shared" si="104"/>
        <v/>
      </c>
      <c r="E210" s="37" t="s">
        <v>381</v>
      </c>
      <c r="F210" s="39" t="s">
        <v>382</v>
      </c>
      <c r="G210" s="30" t="s">
        <v>46</v>
      </c>
      <c r="H210" s="30" t="s">
        <v>315</v>
      </c>
      <c r="I210" s="30" t="s">
        <v>261</v>
      </c>
      <c r="J210" s="30"/>
      <c r="K210" s="30" t="s">
        <v>47</v>
      </c>
      <c r="L210" s="30"/>
      <c r="M210" s="30"/>
      <c r="N210" s="30"/>
      <c r="O210" s="31"/>
      <c r="P210" s="32"/>
      <c r="Q210" s="5"/>
      <c r="R210" s="10"/>
    </row>
    <row r="211" spans="1:18">
      <c r="A211" s="20" t="str">
        <f t="shared" si="102"/>
        <v>RESP</v>
      </c>
      <c r="B211" s="20" t="str">
        <f t="shared" si="103"/>
        <v>INIT</v>
      </c>
      <c r="C211" s="20" t="str">
        <f t="shared" si="104"/>
        <v/>
      </c>
      <c r="E211" s="37" t="s">
        <v>383</v>
      </c>
      <c r="F211" s="39" t="s">
        <v>384</v>
      </c>
      <c r="G211" s="30" t="s">
        <v>46</v>
      </c>
      <c r="H211" s="30" t="s">
        <v>315</v>
      </c>
      <c r="I211" s="30" t="s">
        <v>261</v>
      </c>
      <c r="J211" s="30"/>
      <c r="K211" s="30" t="s">
        <v>47</v>
      </c>
      <c r="L211" s="30"/>
      <c r="M211" s="30"/>
      <c r="N211" s="30"/>
      <c r="O211" s="31"/>
      <c r="P211" s="32"/>
      <c r="Q211" s="5"/>
      <c r="R211" s="10"/>
    </row>
    <row r="212" spans="1:18">
      <c r="A212" s="20" t="str">
        <f t="shared" ref="A212:A213" si="105">IF(J212="","RESP","")</f>
        <v>RESP</v>
      </c>
      <c r="B212" s="20" t="str">
        <f t="shared" ref="B212:B213" si="106">IF(M212="","INIT","")</f>
        <v>INIT</v>
      </c>
      <c r="C212" s="20" t="str">
        <f t="shared" ref="C212:C213" si="107">IF(AND(J212="NO",O212=""),"CMTS","")</f>
        <v/>
      </c>
      <c r="E212" s="37" t="s">
        <v>385</v>
      </c>
      <c r="F212" s="39" t="s">
        <v>386</v>
      </c>
      <c r="G212" s="30" t="s">
        <v>46</v>
      </c>
      <c r="H212" s="30" t="s">
        <v>315</v>
      </c>
      <c r="I212" s="30" t="s">
        <v>261</v>
      </c>
      <c r="J212" s="30"/>
      <c r="K212" s="30" t="s">
        <v>50</v>
      </c>
      <c r="L212" s="30"/>
      <c r="M212" s="30"/>
      <c r="N212" s="30"/>
      <c r="O212" s="31"/>
      <c r="P212" s="32"/>
      <c r="Q212" s="5"/>
      <c r="R212" s="10"/>
    </row>
    <row r="213" spans="1:18">
      <c r="A213" s="20" t="str">
        <f t="shared" si="105"/>
        <v>RESP</v>
      </c>
      <c r="B213" s="20" t="str">
        <f t="shared" si="106"/>
        <v>INIT</v>
      </c>
      <c r="C213" s="20" t="str">
        <f t="shared" si="107"/>
        <v/>
      </c>
      <c r="E213" s="37" t="s">
        <v>387</v>
      </c>
      <c r="F213" s="39" t="s">
        <v>388</v>
      </c>
      <c r="G213" s="30" t="s">
        <v>234</v>
      </c>
      <c r="H213" s="30" t="s">
        <v>315</v>
      </c>
      <c r="I213" s="30" t="s">
        <v>261</v>
      </c>
      <c r="J213" s="30"/>
      <c r="K213" s="30" t="s">
        <v>50</v>
      </c>
      <c r="L213" s="30"/>
      <c r="M213" s="30"/>
      <c r="N213" s="30"/>
      <c r="O213" s="31"/>
      <c r="P213" s="32"/>
      <c r="Q213" s="5"/>
      <c r="R213" s="10"/>
    </row>
    <row r="214" spans="1:18" ht="39.6">
      <c r="A214" s="20" t="str">
        <f>IF(J214="","RESP","")</f>
        <v>RESP</v>
      </c>
      <c r="B214" s="20" t="str">
        <f>IF(M214="","INIT","")</f>
        <v>INIT</v>
      </c>
      <c r="C214" s="20" t="str">
        <f>IF(AND(J214="NO",O214=""),"CMTS","")</f>
        <v/>
      </c>
      <c r="E214" s="43" t="s">
        <v>389</v>
      </c>
      <c r="F214" s="42" t="s">
        <v>390</v>
      </c>
      <c r="G214" s="30" t="s">
        <v>46</v>
      </c>
      <c r="H214" s="30" t="s">
        <v>315</v>
      </c>
      <c r="I214" s="30" t="s">
        <v>261</v>
      </c>
      <c r="J214" s="30"/>
      <c r="K214" s="30" t="s">
        <v>47</v>
      </c>
      <c r="L214" s="30"/>
      <c r="M214" s="30"/>
      <c r="N214" s="30"/>
      <c r="O214" s="31"/>
      <c r="P214" s="32"/>
      <c r="Q214" s="5"/>
      <c r="R214" s="10"/>
    </row>
    <row r="215" spans="1:18" ht="79.5" customHeight="1">
      <c r="A215" s="20" t="str">
        <f t="shared" ref="A215:A216" si="108">IF(J215="","RESP","")</f>
        <v>RESP</v>
      </c>
      <c r="B215" s="20" t="str">
        <f t="shared" ref="B215:B216" si="109">IF(M215="","INIT","")</f>
        <v>INIT</v>
      </c>
      <c r="C215" s="20" t="str">
        <f t="shared" ref="C215:C216" si="110">IF(AND(J215="NO",O215=""),"CMTS","")</f>
        <v/>
      </c>
      <c r="E215" s="43" t="s">
        <v>391</v>
      </c>
      <c r="F215" s="42" t="s">
        <v>392</v>
      </c>
      <c r="G215" s="30" t="s">
        <v>46</v>
      </c>
      <c r="H215" s="30" t="s">
        <v>315</v>
      </c>
      <c r="I215" s="30" t="s">
        <v>261</v>
      </c>
      <c r="J215" s="30"/>
      <c r="K215" s="30" t="s">
        <v>50</v>
      </c>
      <c r="L215" s="30"/>
      <c r="M215" s="30"/>
      <c r="N215" s="30"/>
      <c r="O215" s="31"/>
      <c r="P215" s="32"/>
      <c r="Q215" s="5"/>
      <c r="R215" s="10"/>
    </row>
    <row r="216" spans="1:18" ht="78.599999999999994">
      <c r="A216" s="20" t="str">
        <f t="shared" si="108"/>
        <v>RESP</v>
      </c>
      <c r="B216" s="20" t="str">
        <f t="shared" si="109"/>
        <v>INIT</v>
      </c>
      <c r="C216" s="20" t="str">
        <f t="shared" si="110"/>
        <v/>
      </c>
      <c r="E216" s="43" t="s">
        <v>393</v>
      </c>
      <c r="F216" s="42" t="s">
        <v>394</v>
      </c>
      <c r="G216" s="30" t="s">
        <v>46</v>
      </c>
      <c r="H216" s="30" t="s">
        <v>315</v>
      </c>
      <c r="I216" s="30" t="s">
        <v>261</v>
      </c>
      <c r="J216" s="30"/>
      <c r="K216" s="30" t="s">
        <v>50</v>
      </c>
      <c r="L216" s="30"/>
      <c r="M216" s="30"/>
      <c r="N216" s="30"/>
      <c r="O216" s="31"/>
      <c r="P216" s="32"/>
      <c r="Q216" s="5"/>
      <c r="R216" s="10"/>
    </row>
    <row r="217" spans="1:18" ht="78.599999999999994">
      <c r="A217" s="20" t="str">
        <f t="shared" ref="A217:A218" si="111">IF(J217="","RESP","")</f>
        <v>RESP</v>
      </c>
      <c r="B217" s="20" t="str">
        <f t="shared" ref="B217:B218" si="112">IF(M217="","INIT","")</f>
        <v>INIT</v>
      </c>
      <c r="C217" s="20" t="str">
        <f t="shared" ref="C217:C218" si="113">IF(AND(J217="NO",O217=""),"CMTS","")</f>
        <v/>
      </c>
      <c r="E217" s="45" t="s">
        <v>395</v>
      </c>
      <c r="F217" s="44" t="s">
        <v>396</v>
      </c>
      <c r="G217" s="30" t="s">
        <v>46</v>
      </c>
      <c r="H217" s="30" t="s">
        <v>315</v>
      </c>
      <c r="I217" s="30" t="s">
        <v>46</v>
      </c>
      <c r="J217" s="30"/>
      <c r="K217" s="30" t="s">
        <v>47</v>
      </c>
      <c r="L217" s="30"/>
      <c r="M217" s="30"/>
      <c r="N217" s="30"/>
      <c r="O217" s="31"/>
      <c r="P217" s="32"/>
      <c r="Q217" s="5"/>
      <c r="R217" s="10"/>
    </row>
    <row r="218" spans="1:18" ht="91.5">
      <c r="A218" s="20" t="str">
        <f t="shared" si="111"/>
        <v>RESP</v>
      </c>
      <c r="B218" s="20" t="str">
        <f t="shared" si="112"/>
        <v>INIT</v>
      </c>
      <c r="C218" s="20" t="str">
        <f t="shared" si="113"/>
        <v/>
      </c>
      <c r="E218" s="45" t="s">
        <v>397</v>
      </c>
      <c r="F218" s="44" t="s">
        <v>398</v>
      </c>
      <c r="G218" s="30" t="s">
        <v>46</v>
      </c>
      <c r="H218" s="30" t="s">
        <v>315</v>
      </c>
      <c r="I218" s="30" t="s">
        <v>46</v>
      </c>
      <c r="J218" s="30"/>
      <c r="K218" s="30" t="s">
        <v>50</v>
      </c>
      <c r="L218" s="30"/>
      <c r="M218" s="30"/>
      <c r="N218" s="30"/>
      <c r="O218" s="31"/>
      <c r="P218" s="32"/>
      <c r="Q218" s="5"/>
      <c r="R218" s="10"/>
    </row>
    <row r="221" spans="1:18" ht="27.6">
      <c r="A221" s="12" t="s">
        <v>32</v>
      </c>
      <c r="B221" s="13"/>
      <c r="C221" s="13"/>
      <c r="D221" s="2"/>
      <c r="E221" s="22" t="s">
        <v>399</v>
      </c>
      <c r="F221" s="23"/>
      <c r="G221" s="40" t="s">
        <v>34</v>
      </c>
      <c r="H221" s="40" t="s">
        <v>35</v>
      </c>
      <c r="I221" s="40" t="s">
        <v>36</v>
      </c>
      <c r="J221" s="40" t="s">
        <v>37</v>
      </c>
      <c r="K221" s="40" t="s">
        <v>38</v>
      </c>
      <c r="L221" s="40" t="s">
        <v>39</v>
      </c>
      <c r="M221" s="40" t="s">
        <v>40</v>
      </c>
      <c r="N221" s="40" t="s">
        <v>41</v>
      </c>
      <c r="O221" s="40" t="s">
        <v>1</v>
      </c>
      <c r="P221" s="41" t="s">
        <v>104</v>
      </c>
      <c r="Q221" s="2"/>
      <c r="R221" s="9" t="s">
        <v>43</v>
      </c>
    </row>
    <row r="222" spans="1:18" ht="26.45">
      <c r="A222" s="20" t="str">
        <f t="shared" ref="A222:A223" si="114">IF(J222="","RESP","")</f>
        <v>RESP</v>
      </c>
      <c r="B222" s="20" t="str">
        <f t="shared" ref="B222:B223" si="115">IF(M222="","INIT","")</f>
        <v>INIT</v>
      </c>
      <c r="C222" s="20" t="str">
        <f t="shared" ref="C222:C223" si="116">IF(AND(J222="NO",O222=""),"CMTS","")</f>
        <v/>
      </c>
      <c r="D222" s="5"/>
      <c r="E222" s="28" t="s">
        <v>400</v>
      </c>
      <c r="F222" s="36" t="s">
        <v>401</v>
      </c>
      <c r="G222" s="30" t="s">
        <v>46</v>
      </c>
      <c r="H222" s="30" t="s">
        <v>402</v>
      </c>
      <c r="I222" s="30" t="s">
        <v>46</v>
      </c>
      <c r="J222" s="30"/>
      <c r="K222" s="30" t="s">
        <v>47</v>
      </c>
      <c r="L222" s="30"/>
      <c r="M222" s="30"/>
      <c r="N222" s="30"/>
      <c r="O222" s="31"/>
      <c r="P222" s="32"/>
      <c r="Q222" s="5"/>
      <c r="R222" s="36" t="s">
        <v>122</v>
      </c>
    </row>
    <row r="223" spans="1:18" ht="26.45">
      <c r="A223" s="20" t="str">
        <f t="shared" si="114"/>
        <v>RESP</v>
      </c>
      <c r="B223" s="20" t="str">
        <f t="shared" si="115"/>
        <v>INIT</v>
      </c>
      <c r="C223" s="20" t="str">
        <f t="shared" si="116"/>
        <v/>
      </c>
      <c r="D223" s="5"/>
      <c r="E223" s="28" t="s">
        <v>403</v>
      </c>
      <c r="F223" s="36" t="s">
        <v>404</v>
      </c>
      <c r="G223" s="30" t="s">
        <v>46</v>
      </c>
      <c r="H223" s="30" t="s">
        <v>402</v>
      </c>
      <c r="I223" s="30" t="s">
        <v>46</v>
      </c>
      <c r="J223" s="30"/>
      <c r="K223" s="30" t="s">
        <v>47</v>
      </c>
      <c r="L223" s="30"/>
      <c r="M223" s="30"/>
      <c r="N223" s="30"/>
      <c r="O223" s="31"/>
      <c r="P223" s="32"/>
      <c r="Q223" s="5"/>
      <c r="R223" s="36" t="s">
        <v>122</v>
      </c>
    </row>
    <row r="224" spans="1:18" ht="26.45">
      <c r="A224" s="20" t="str">
        <f t="shared" ref="A224:A225" si="117">IF(J224="","RESP","")</f>
        <v>RESP</v>
      </c>
      <c r="B224" s="20" t="str">
        <f t="shared" ref="B224:B225" si="118">IF(M224="","INIT","")</f>
        <v>INIT</v>
      </c>
      <c r="C224" s="20" t="str">
        <f t="shared" ref="C224:C225" si="119">IF(AND(J224="NO",O224=""),"CMTS","")</f>
        <v/>
      </c>
      <c r="D224" s="5"/>
      <c r="E224" s="28" t="s">
        <v>405</v>
      </c>
      <c r="F224" s="36" t="s">
        <v>406</v>
      </c>
      <c r="G224" s="30" t="s">
        <v>46</v>
      </c>
      <c r="H224" s="30" t="s">
        <v>402</v>
      </c>
      <c r="I224" s="30" t="s">
        <v>46</v>
      </c>
      <c r="J224" s="30"/>
      <c r="K224" s="30" t="s">
        <v>47</v>
      </c>
      <c r="L224" s="30"/>
      <c r="M224" s="30"/>
      <c r="N224" s="30"/>
      <c r="O224" s="31"/>
      <c r="P224" s="32"/>
      <c r="Q224" s="5"/>
      <c r="R224" s="36" t="s">
        <v>122</v>
      </c>
    </row>
    <row r="225" spans="1:18">
      <c r="A225" s="20" t="str">
        <f t="shared" si="117"/>
        <v>RESP</v>
      </c>
      <c r="B225" s="20" t="str">
        <f t="shared" si="118"/>
        <v>INIT</v>
      </c>
      <c r="C225" s="20" t="str">
        <f t="shared" si="119"/>
        <v/>
      </c>
      <c r="D225" s="5"/>
      <c r="E225" s="28" t="s">
        <v>407</v>
      </c>
      <c r="F225" s="36" t="s">
        <v>408</v>
      </c>
      <c r="G225" s="30" t="s">
        <v>46</v>
      </c>
      <c r="H225" s="30" t="s">
        <v>402</v>
      </c>
      <c r="I225" s="30" t="s">
        <v>46</v>
      </c>
      <c r="J225" s="30"/>
      <c r="K225" s="30" t="s">
        <v>50</v>
      </c>
      <c r="L225" s="30"/>
      <c r="M225" s="30"/>
      <c r="N225" s="30"/>
      <c r="O225" s="31"/>
      <c r="P225" s="32"/>
      <c r="Q225" s="5"/>
      <c r="R225" s="10"/>
    </row>
    <row r="226" spans="1:18">
      <c r="A226" s="20" t="str">
        <f t="shared" ref="A226" si="120">IF(J226="","RESP","")</f>
        <v>RESP</v>
      </c>
      <c r="B226" s="20" t="str">
        <f t="shared" ref="B226" si="121">IF(M226="","INIT","")</f>
        <v>INIT</v>
      </c>
      <c r="C226" s="20" t="str">
        <f t="shared" ref="C226" si="122">IF(AND(J226="NO",O226=""),"CMTS","")</f>
        <v/>
      </c>
      <c r="D226" s="5"/>
      <c r="E226" s="28" t="s">
        <v>409</v>
      </c>
      <c r="F226" s="36" t="s">
        <v>410</v>
      </c>
      <c r="G226" s="30" t="s">
        <v>46</v>
      </c>
      <c r="H226" s="30" t="s">
        <v>402</v>
      </c>
      <c r="I226" s="30" t="s">
        <v>46</v>
      </c>
      <c r="J226" s="30"/>
      <c r="K226" s="30" t="s">
        <v>50</v>
      </c>
      <c r="L226" s="30"/>
      <c r="M226" s="30"/>
      <c r="N226" s="30"/>
      <c r="O226" s="31"/>
      <c r="P226" s="32"/>
      <c r="Q226" s="5"/>
      <c r="R226" s="10"/>
    </row>
    <row r="229" spans="1:18" ht="27.6">
      <c r="A229" s="12" t="s">
        <v>32</v>
      </c>
      <c r="B229" s="13"/>
      <c r="C229" s="13"/>
      <c r="D229" s="2"/>
      <c r="E229" s="22" t="s">
        <v>411</v>
      </c>
      <c r="F229" s="23"/>
      <c r="G229" s="40" t="s">
        <v>34</v>
      </c>
      <c r="H229" s="40" t="s">
        <v>35</v>
      </c>
      <c r="I229" s="40" t="s">
        <v>36</v>
      </c>
      <c r="J229" s="40" t="s">
        <v>37</v>
      </c>
      <c r="K229" s="40" t="s">
        <v>38</v>
      </c>
      <c r="L229" s="40" t="s">
        <v>39</v>
      </c>
      <c r="M229" s="40" t="s">
        <v>40</v>
      </c>
      <c r="N229" s="40" t="s">
        <v>41</v>
      </c>
      <c r="O229" s="40" t="s">
        <v>1</v>
      </c>
      <c r="P229" s="41" t="s">
        <v>104</v>
      </c>
      <c r="Q229" s="2"/>
      <c r="R229" s="9" t="s">
        <v>43</v>
      </c>
    </row>
    <row r="230" spans="1:18">
      <c r="A230" s="20" t="str">
        <f t="shared" ref="A230:A237" si="123">IF(J230="","RESP","")</f>
        <v>RESP</v>
      </c>
      <c r="B230" s="20" t="str">
        <f t="shared" ref="B230:B237" si="124">IF(M230="","INIT","")</f>
        <v>INIT</v>
      </c>
      <c r="C230" s="20" t="str">
        <f t="shared" ref="C230:C237" si="125">IF(AND(J230="NO",O230=""),"CMTS","")</f>
        <v/>
      </c>
      <c r="D230" s="5"/>
      <c r="E230" s="28" t="s">
        <v>412</v>
      </c>
      <c r="F230" s="36" t="s">
        <v>413</v>
      </c>
      <c r="G230" s="30" t="s">
        <v>46</v>
      </c>
      <c r="H230" s="30" t="s">
        <v>46</v>
      </c>
      <c r="I230" s="30" t="s">
        <v>46</v>
      </c>
      <c r="J230" s="30"/>
      <c r="K230" s="30" t="s">
        <v>50</v>
      </c>
      <c r="L230" s="30"/>
      <c r="M230" s="30"/>
      <c r="N230" s="30"/>
      <c r="O230" s="31"/>
      <c r="P230" s="32"/>
      <c r="Q230" s="5"/>
      <c r="R230" s="10"/>
    </row>
    <row r="231" spans="1:18">
      <c r="A231" s="20" t="str">
        <f t="shared" si="123"/>
        <v>RESP</v>
      </c>
      <c r="B231" s="20" t="str">
        <f t="shared" si="124"/>
        <v>INIT</v>
      </c>
      <c r="C231" s="20" t="str">
        <f t="shared" si="125"/>
        <v/>
      </c>
      <c r="D231" s="5"/>
      <c r="E231" s="28" t="s">
        <v>414</v>
      </c>
      <c r="F231" s="36" t="s">
        <v>415</v>
      </c>
      <c r="G231" s="30" t="s">
        <v>46</v>
      </c>
      <c r="H231" s="30" t="s">
        <v>46</v>
      </c>
      <c r="I231" s="30" t="s">
        <v>46</v>
      </c>
      <c r="J231" s="30"/>
      <c r="K231" s="30" t="s">
        <v>47</v>
      </c>
      <c r="L231" s="30"/>
      <c r="M231" s="30"/>
      <c r="N231" s="30"/>
      <c r="O231" s="31"/>
      <c r="P231" s="32"/>
      <c r="Q231" s="5"/>
      <c r="R231" s="10"/>
    </row>
    <row r="232" spans="1:18">
      <c r="A232" s="20" t="str">
        <f t="shared" si="123"/>
        <v>RESP</v>
      </c>
      <c r="B232" s="20" t="str">
        <f t="shared" si="124"/>
        <v>INIT</v>
      </c>
      <c r="C232" s="20" t="str">
        <f t="shared" si="125"/>
        <v/>
      </c>
      <c r="D232" s="5"/>
      <c r="E232" s="28" t="s">
        <v>416</v>
      </c>
      <c r="F232" s="36" t="s">
        <v>417</v>
      </c>
      <c r="G232" s="30" t="s">
        <v>46</v>
      </c>
      <c r="H232" s="30" t="s">
        <v>46</v>
      </c>
      <c r="I232" s="30" t="s">
        <v>46</v>
      </c>
      <c r="J232" s="30"/>
      <c r="K232" s="30" t="s">
        <v>50</v>
      </c>
      <c r="L232" s="30"/>
      <c r="M232" s="30"/>
      <c r="N232" s="30"/>
      <c r="O232" s="31"/>
      <c r="P232" s="32"/>
      <c r="Q232" s="5"/>
      <c r="R232" s="10"/>
    </row>
    <row r="233" spans="1:18">
      <c r="A233" s="20" t="str">
        <f t="shared" si="123"/>
        <v>RESP</v>
      </c>
      <c r="B233" s="20" t="str">
        <f t="shared" si="124"/>
        <v>INIT</v>
      </c>
      <c r="C233" s="20" t="str">
        <f t="shared" si="125"/>
        <v/>
      </c>
      <c r="D233" s="5"/>
      <c r="E233" s="28" t="s">
        <v>418</v>
      </c>
      <c r="F233" s="36" t="s">
        <v>419</v>
      </c>
      <c r="G233" s="30" t="s">
        <v>46</v>
      </c>
      <c r="H233" s="30" t="s">
        <v>46</v>
      </c>
      <c r="I233" s="30" t="s">
        <v>46</v>
      </c>
      <c r="J233" s="30"/>
      <c r="K233" s="30" t="s">
        <v>50</v>
      </c>
      <c r="L233" s="30"/>
      <c r="M233" s="30"/>
      <c r="N233" s="30"/>
      <c r="O233" s="31"/>
      <c r="P233" s="32"/>
      <c r="Q233" s="5"/>
      <c r="R233" s="10"/>
    </row>
    <row r="234" spans="1:18">
      <c r="A234" s="20" t="str">
        <f t="shared" si="123"/>
        <v>RESP</v>
      </c>
      <c r="B234" s="20" t="str">
        <f t="shared" si="124"/>
        <v>INIT</v>
      </c>
      <c r="C234" s="20" t="str">
        <f t="shared" si="125"/>
        <v/>
      </c>
      <c r="D234" s="5"/>
      <c r="E234" s="28" t="s">
        <v>420</v>
      </c>
      <c r="F234" s="36" t="s">
        <v>421</v>
      </c>
      <c r="G234" s="30" t="s">
        <v>46</v>
      </c>
      <c r="H234" s="30" t="s">
        <v>46</v>
      </c>
      <c r="I234" s="30" t="s">
        <v>46</v>
      </c>
      <c r="J234" s="30"/>
      <c r="K234" s="30" t="s">
        <v>50</v>
      </c>
      <c r="L234" s="30"/>
      <c r="M234" s="30"/>
      <c r="N234" s="30"/>
      <c r="O234" s="31"/>
      <c r="P234" s="32"/>
      <c r="Q234" s="5"/>
      <c r="R234" s="10"/>
    </row>
    <row r="235" spans="1:18">
      <c r="A235" s="20" t="str">
        <f t="shared" si="123"/>
        <v>RESP</v>
      </c>
      <c r="B235" s="20" t="str">
        <f t="shared" si="124"/>
        <v>INIT</v>
      </c>
      <c r="C235" s="20" t="str">
        <f t="shared" si="125"/>
        <v/>
      </c>
      <c r="D235" s="5"/>
      <c r="E235" s="28" t="s">
        <v>422</v>
      </c>
      <c r="F235" s="36" t="s">
        <v>423</v>
      </c>
      <c r="G235" s="30" t="s">
        <v>46</v>
      </c>
      <c r="H235" s="30" t="s">
        <v>46</v>
      </c>
      <c r="I235" s="30" t="s">
        <v>46</v>
      </c>
      <c r="J235" s="30"/>
      <c r="K235" s="30" t="s">
        <v>47</v>
      </c>
      <c r="L235" s="30"/>
      <c r="M235" s="30"/>
      <c r="N235" s="30"/>
      <c r="O235" s="31"/>
      <c r="P235" s="32"/>
      <c r="Q235" s="5"/>
      <c r="R235" s="10"/>
    </row>
    <row r="236" spans="1:18" ht="39.6">
      <c r="A236" s="20" t="str">
        <f t="shared" si="123"/>
        <v>RESP</v>
      </c>
      <c r="B236" s="20" t="str">
        <f t="shared" si="124"/>
        <v>INIT</v>
      </c>
      <c r="C236" s="20" t="str">
        <f t="shared" si="125"/>
        <v/>
      </c>
      <c r="D236" s="5"/>
      <c r="E236" s="28" t="s">
        <v>424</v>
      </c>
      <c r="F236" s="36" t="s">
        <v>425</v>
      </c>
      <c r="G236" s="30" t="s">
        <v>46</v>
      </c>
      <c r="H236" s="30" t="s">
        <v>46</v>
      </c>
      <c r="I236" s="30" t="s">
        <v>46</v>
      </c>
      <c r="J236" s="30"/>
      <c r="K236" s="30" t="s">
        <v>47</v>
      </c>
      <c r="L236" s="30"/>
      <c r="M236" s="30"/>
      <c r="N236" s="30"/>
      <c r="O236" s="31"/>
      <c r="P236" s="32"/>
      <c r="Q236" s="5"/>
      <c r="R236" s="10"/>
    </row>
    <row r="237" spans="1:18">
      <c r="A237" s="20" t="str">
        <f t="shared" si="123"/>
        <v>RESP</v>
      </c>
      <c r="B237" s="20" t="str">
        <f t="shared" si="124"/>
        <v>INIT</v>
      </c>
      <c r="C237" s="20" t="str">
        <f t="shared" si="125"/>
        <v/>
      </c>
      <c r="D237" s="5"/>
      <c r="E237" s="28" t="s">
        <v>426</v>
      </c>
      <c r="F237" s="36" t="s">
        <v>427</v>
      </c>
      <c r="G237" s="30" t="s">
        <v>46</v>
      </c>
      <c r="H237" s="30" t="s">
        <v>46</v>
      </c>
      <c r="I237" s="30" t="s">
        <v>46</v>
      </c>
      <c r="J237" s="30"/>
      <c r="K237" s="30" t="s">
        <v>50</v>
      </c>
      <c r="L237" s="30"/>
      <c r="M237" s="30"/>
      <c r="N237" s="30"/>
      <c r="O237" s="31"/>
      <c r="P237" s="32"/>
      <c r="Q237" s="5"/>
      <c r="R237" s="10"/>
    </row>
    <row r="240" spans="1:18" ht="27.6">
      <c r="A240" s="12" t="s">
        <v>32</v>
      </c>
      <c r="B240" s="13"/>
      <c r="C240" s="13"/>
      <c r="D240" s="2"/>
      <c r="E240" s="22" t="s">
        <v>428</v>
      </c>
      <c r="F240" s="23"/>
      <c r="G240" s="40" t="s">
        <v>34</v>
      </c>
      <c r="H240" s="40" t="s">
        <v>35</v>
      </c>
      <c r="I240" s="40" t="s">
        <v>36</v>
      </c>
      <c r="J240" s="40" t="s">
        <v>37</v>
      </c>
      <c r="K240" s="40" t="s">
        <v>38</v>
      </c>
      <c r="L240" s="40" t="s">
        <v>39</v>
      </c>
      <c r="M240" s="40" t="s">
        <v>40</v>
      </c>
      <c r="N240" s="40" t="s">
        <v>41</v>
      </c>
      <c r="O240" s="40" t="s">
        <v>1</v>
      </c>
      <c r="P240" s="41" t="s">
        <v>104</v>
      </c>
      <c r="Q240" s="2"/>
      <c r="R240" s="9" t="s">
        <v>43</v>
      </c>
    </row>
    <row r="241" spans="1:18">
      <c r="A241" s="20" t="str">
        <f t="shared" ref="A241:A253" si="126">IF(J241="","RESP","")</f>
        <v>RESP</v>
      </c>
      <c r="B241" s="20" t="str">
        <f t="shared" ref="B241:B253" si="127">IF(M241="","INIT","")</f>
        <v>INIT</v>
      </c>
      <c r="C241" s="20" t="str">
        <f t="shared" ref="C241:C253" si="128">IF(AND(J241="NO",O241=""),"CMTS","")</f>
        <v/>
      </c>
      <c r="D241" s="5"/>
      <c r="E241" s="28" t="s">
        <v>429</v>
      </c>
      <c r="F241" s="36" t="s">
        <v>430</v>
      </c>
      <c r="G241" s="30" t="s">
        <v>234</v>
      </c>
      <c r="H241" s="30" t="s">
        <v>46</v>
      </c>
      <c r="I241" s="30" t="s">
        <v>46</v>
      </c>
      <c r="J241" s="30"/>
      <c r="K241" s="30" t="s">
        <v>47</v>
      </c>
      <c r="L241" s="30"/>
      <c r="M241" s="30"/>
      <c r="N241" s="30"/>
      <c r="O241" s="31"/>
      <c r="P241" s="32"/>
      <c r="Q241" s="5"/>
      <c r="R241" s="10"/>
    </row>
    <row r="242" spans="1:18">
      <c r="A242" s="20" t="str">
        <f t="shared" ref="A242" si="129">IF(J242="","RESP","")</f>
        <v>RESP</v>
      </c>
      <c r="B242" s="20" t="str">
        <f t="shared" ref="B242" si="130">IF(M242="","INIT","")</f>
        <v>INIT</v>
      </c>
      <c r="C242" s="20" t="str">
        <f t="shared" ref="C242" si="131">IF(AND(J242="NO",O242=""),"CMTS","")</f>
        <v/>
      </c>
      <c r="D242" s="5"/>
      <c r="E242" s="28" t="s">
        <v>431</v>
      </c>
      <c r="F242" s="36" t="s">
        <v>432</v>
      </c>
      <c r="G242" s="30" t="s">
        <v>234</v>
      </c>
      <c r="H242" s="30" t="s">
        <v>46</v>
      </c>
      <c r="I242" s="30" t="s">
        <v>46</v>
      </c>
      <c r="J242" s="30"/>
      <c r="K242" s="30" t="s">
        <v>50</v>
      </c>
      <c r="L242" s="30"/>
      <c r="M242" s="30"/>
      <c r="N242" s="30"/>
      <c r="O242" s="31"/>
      <c r="P242" s="32"/>
      <c r="Q242" s="5"/>
      <c r="R242" s="10"/>
    </row>
    <row r="243" spans="1:18">
      <c r="A243" s="20" t="str">
        <f t="shared" ref="A243" si="132">IF(J243="","RESP","")</f>
        <v>RESP</v>
      </c>
      <c r="B243" s="20" t="str">
        <f t="shared" ref="B243" si="133">IF(M243="","INIT","")</f>
        <v>INIT</v>
      </c>
      <c r="C243" s="20" t="str">
        <f t="shared" ref="C243" si="134">IF(AND(J243="NO",O243=""),"CMTS","")</f>
        <v/>
      </c>
      <c r="D243" s="5"/>
      <c r="E243" s="28" t="s">
        <v>433</v>
      </c>
      <c r="F243" s="36" t="s">
        <v>434</v>
      </c>
      <c r="G243" s="30" t="s">
        <v>234</v>
      </c>
      <c r="H243" s="30" t="s">
        <v>46</v>
      </c>
      <c r="I243" s="30" t="s">
        <v>46</v>
      </c>
      <c r="J243" s="30"/>
      <c r="K243" s="30" t="s">
        <v>47</v>
      </c>
      <c r="L243" s="30"/>
      <c r="M243" s="30"/>
      <c r="N243" s="30"/>
      <c r="O243" s="31"/>
      <c r="P243" s="32"/>
      <c r="Q243" s="5"/>
      <c r="R243" s="10"/>
    </row>
    <row r="244" spans="1:18">
      <c r="A244" s="20" t="str">
        <f t="shared" ref="A244" si="135">IF(J244="","RESP","")</f>
        <v>RESP</v>
      </c>
      <c r="B244" s="20" t="str">
        <f t="shared" ref="B244" si="136">IF(M244="","INIT","")</f>
        <v>INIT</v>
      </c>
      <c r="C244" s="20" t="str">
        <f t="shared" ref="C244" si="137">IF(AND(J244="NO",O244=""),"CMTS","")</f>
        <v/>
      </c>
      <c r="D244" s="5"/>
      <c r="E244" s="28" t="s">
        <v>435</v>
      </c>
      <c r="F244" s="36" t="s">
        <v>436</v>
      </c>
      <c r="G244" s="30" t="s">
        <v>234</v>
      </c>
      <c r="H244" s="30" t="s">
        <v>46</v>
      </c>
      <c r="I244" s="30" t="s">
        <v>46</v>
      </c>
      <c r="J244" s="30"/>
      <c r="K244" s="30" t="s">
        <v>50</v>
      </c>
      <c r="L244" s="30"/>
      <c r="M244" s="30"/>
      <c r="N244" s="30"/>
      <c r="O244" s="31"/>
      <c r="P244" s="32"/>
      <c r="Q244" s="5"/>
      <c r="R244" s="10"/>
    </row>
    <row r="245" spans="1:18">
      <c r="A245" s="20" t="str">
        <f t="shared" ref="A245:A246" si="138">IF(J245="","RESP","")</f>
        <v>RESP</v>
      </c>
      <c r="B245" s="20" t="str">
        <f t="shared" ref="B245:B246" si="139">IF(M245="","INIT","")</f>
        <v>INIT</v>
      </c>
      <c r="C245" s="20" t="str">
        <f t="shared" ref="C245:C246" si="140">IF(AND(J245="NO",O245=""),"CMTS","")</f>
        <v/>
      </c>
      <c r="D245" s="5"/>
      <c r="E245" s="28" t="s">
        <v>437</v>
      </c>
      <c r="F245" s="36" t="s">
        <v>438</v>
      </c>
      <c r="G245" s="30" t="s">
        <v>234</v>
      </c>
      <c r="H245" s="30" t="s">
        <v>46</v>
      </c>
      <c r="I245" s="30" t="s">
        <v>46</v>
      </c>
      <c r="J245" s="30"/>
      <c r="K245" s="30" t="s">
        <v>50</v>
      </c>
      <c r="L245" s="30"/>
      <c r="M245" s="30"/>
      <c r="N245" s="30"/>
      <c r="O245" s="31"/>
      <c r="P245" s="32"/>
      <c r="Q245" s="5"/>
      <c r="R245" s="10"/>
    </row>
    <row r="246" spans="1:18">
      <c r="A246" s="20" t="str">
        <f t="shared" si="138"/>
        <v>RESP</v>
      </c>
      <c r="B246" s="20" t="str">
        <f t="shared" si="139"/>
        <v>INIT</v>
      </c>
      <c r="C246" s="20" t="str">
        <f t="shared" si="140"/>
        <v/>
      </c>
      <c r="D246" s="5"/>
      <c r="E246" s="28" t="s">
        <v>439</v>
      </c>
      <c r="F246" s="36" t="s">
        <v>440</v>
      </c>
      <c r="G246" s="30" t="s">
        <v>234</v>
      </c>
      <c r="H246" s="30" t="s">
        <v>46</v>
      </c>
      <c r="I246" s="30" t="s">
        <v>46</v>
      </c>
      <c r="J246" s="30"/>
      <c r="K246" s="30" t="s">
        <v>50</v>
      </c>
      <c r="L246" s="30"/>
      <c r="M246" s="30"/>
      <c r="N246" s="30"/>
      <c r="O246" s="31"/>
      <c r="P246" s="32"/>
      <c r="Q246" s="5"/>
      <c r="R246" s="10"/>
    </row>
    <row r="247" spans="1:18">
      <c r="A247" s="20" t="str">
        <f t="shared" si="126"/>
        <v>RESP</v>
      </c>
      <c r="B247" s="20" t="str">
        <f t="shared" si="127"/>
        <v>INIT</v>
      </c>
      <c r="C247" s="20" t="str">
        <f t="shared" si="128"/>
        <v/>
      </c>
      <c r="D247" s="5"/>
      <c r="E247" s="28" t="s">
        <v>441</v>
      </c>
      <c r="F247" s="36" t="s">
        <v>442</v>
      </c>
      <c r="G247" s="30" t="s">
        <v>234</v>
      </c>
      <c r="H247" s="30" t="s">
        <v>46</v>
      </c>
      <c r="I247" s="30" t="s">
        <v>46</v>
      </c>
      <c r="J247" s="30"/>
      <c r="K247" s="30" t="s">
        <v>47</v>
      </c>
      <c r="L247" s="30"/>
      <c r="M247" s="30"/>
      <c r="N247" s="30"/>
      <c r="O247" s="31"/>
      <c r="P247" s="32"/>
      <c r="Q247" s="5"/>
      <c r="R247" s="10"/>
    </row>
    <row r="248" spans="1:18">
      <c r="A248" s="20" t="str">
        <f t="shared" si="126"/>
        <v>RESP</v>
      </c>
      <c r="B248" s="20" t="str">
        <f t="shared" si="127"/>
        <v>INIT</v>
      </c>
      <c r="C248" s="20" t="str">
        <f t="shared" si="128"/>
        <v/>
      </c>
      <c r="D248" s="5"/>
      <c r="E248" s="28" t="s">
        <v>443</v>
      </c>
      <c r="F248" s="36" t="s">
        <v>444</v>
      </c>
      <c r="G248" s="30" t="s">
        <v>234</v>
      </c>
      <c r="H248" s="30" t="s">
        <v>46</v>
      </c>
      <c r="I248" s="30" t="s">
        <v>46</v>
      </c>
      <c r="J248" s="30"/>
      <c r="K248" s="30" t="s">
        <v>47</v>
      </c>
      <c r="L248" s="30"/>
      <c r="M248" s="30"/>
      <c r="N248" s="30"/>
      <c r="O248" s="31"/>
      <c r="P248" s="32"/>
      <c r="Q248" s="5"/>
      <c r="R248" s="10"/>
    </row>
    <row r="249" spans="1:18">
      <c r="A249" s="20" t="str">
        <f t="shared" si="126"/>
        <v>RESP</v>
      </c>
      <c r="B249" s="20" t="str">
        <f t="shared" si="127"/>
        <v>INIT</v>
      </c>
      <c r="C249" s="20" t="str">
        <f t="shared" si="128"/>
        <v/>
      </c>
      <c r="D249" s="5"/>
      <c r="E249" s="28" t="s">
        <v>445</v>
      </c>
      <c r="F249" s="36" t="s">
        <v>446</v>
      </c>
      <c r="G249" s="30" t="s">
        <v>234</v>
      </c>
      <c r="H249" s="30" t="s">
        <v>46</v>
      </c>
      <c r="I249" s="30" t="s">
        <v>46</v>
      </c>
      <c r="J249" s="30"/>
      <c r="K249" s="30" t="s">
        <v>47</v>
      </c>
      <c r="L249" s="30"/>
      <c r="M249" s="30"/>
      <c r="N249" s="30"/>
      <c r="O249" s="31"/>
      <c r="P249" s="32"/>
      <c r="Q249" s="5"/>
      <c r="R249" s="10"/>
    </row>
    <row r="250" spans="1:18">
      <c r="A250" s="20" t="str">
        <f t="shared" si="126"/>
        <v>RESP</v>
      </c>
      <c r="B250" s="20" t="str">
        <f t="shared" si="127"/>
        <v>INIT</v>
      </c>
      <c r="C250" s="20" t="str">
        <f t="shared" si="128"/>
        <v/>
      </c>
      <c r="D250" s="5"/>
      <c r="E250" s="28" t="s">
        <v>447</v>
      </c>
      <c r="F250" s="36" t="s">
        <v>448</v>
      </c>
      <c r="G250" s="30" t="s">
        <v>234</v>
      </c>
      <c r="H250" s="30" t="s">
        <v>46</v>
      </c>
      <c r="I250" s="30" t="s">
        <v>46</v>
      </c>
      <c r="J250" s="30"/>
      <c r="K250" s="30" t="s">
        <v>50</v>
      </c>
      <c r="L250" s="30"/>
      <c r="M250" s="30"/>
      <c r="N250" s="30"/>
      <c r="O250" s="31"/>
      <c r="P250" s="32"/>
      <c r="Q250" s="5"/>
      <c r="R250" s="10"/>
    </row>
    <row r="251" spans="1:18">
      <c r="A251" s="20" t="str">
        <f t="shared" si="126"/>
        <v>RESP</v>
      </c>
      <c r="B251" s="20" t="str">
        <f t="shared" si="127"/>
        <v>INIT</v>
      </c>
      <c r="C251" s="20" t="str">
        <f t="shared" si="128"/>
        <v/>
      </c>
      <c r="D251" s="5"/>
      <c r="E251" s="28" t="s">
        <v>449</v>
      </c>
      <c r="F251" s="36" t="s">
        <v>450</v>
      </c>
      <c r="G251" s="30" t="s">
        <v>234</v>
      </c>
      <c r="H251" s="30" t="s">
        <v>46</v>
      </c>
      <c r="I251" s="30" t="s">
        <v>46</v>
      </c>
      <c r="J251" s="30"/>
      <c r="K251" s="30" t="s">
        <v>47</v>
      </c>
      <c r="L251" s="30"/>
      <c r="M251" s="30"/>
      <c r="N251" s="30"/>
      <c r="O251" s="31"/>
      <c r="P251" s="32"/>
      <c r="Q251" s="5"/>
      <c r="R251" s="10"/>
    </row>
    <row r="252" spans="1:18">
      <c r="A252" s="20" t="str">
        <f t="shared" si="126"/>
        <v>RESP</v>
      </c>
      <c r="B252" s="20" t="str">
        <f t="shared" si="127"/>
        <v>INIT</v>
      </c>
      <c r="C252" s="20" t="str">
        <f t="shared" si="128"/>
        <v/>
      </c>
      <c r="D252" s="5"/>
      <c r="E252" s="28" t="s">
        <v>451</v>
      </c>
      <c r="F252" s="36" t="s">
        <v>452</v>
      </c>
      <c r="G252" s="30" t="s">
        <v>234</v>
      </c>
      <c r="H252" s="30" t="s">
        <v>46</v>
      </c>
      <c r="I252" s="30" t="s">
        <v>46</v>
      </c>
      <c r="J252" s="30"/>
      <c r="K252" s="30" t="s">
        <v>50</v>
      </c>
      <c r="L252" s="30"/>
      <c r="M252" s="30"/>
      <c r="N252" s="30"/>
      <c r="O252" s="31"/>
      <c r="P252" s="32"/>
      <c r="Q252" s="5"/>
      <c r="R252" s="10"/>
    </row>
    <row r="253" spans="1:18">
      <c r="A253" s="20" t="str">
        <f t="shared" si="126"/>
        <v>RESP</v>
      </c>
      <c r="B253" s="20" t="str">
        <f t="shared" si="127"/>
        <v>INIT</v>
      </c>
      <c r="C253" s="20" t="str">
        <f t="shared" si="128"/>
        <v/>
      </c>
      <c r="D253" s="5"/>
      <c r="E253" s="28" t="s">
        <v>453</v>
      </c>
      <c r="F253" s="36" t="s">
        <v>454</v>
      </c>
      <c r="G253" s="30" t="s">
        <v>234</v>
      </c>
      <c r="H253" s="30" t="s">
        <v>46</v>
      </c>
      <c r="I253" s="30" t="s">
        <v>46</v>
      </c>
      <c r="J253" s="30"/>
      <c r="K253" s="30" t="s">
        <v>50</v>
      </c>
      <c r="L253" s="30"/>
      <c r="M253" s="30"/>
      <c r="N253" s="30"/>
      <c r="O253" s="31"/>
      <c r="P253" s="32"/>
      <c r="Q253" s="5"/>
      <c r="R253" s="10"/>
    </row>
    <row r="254" spans="1:18">
      <c r="A254" s="20" t="str">
        <f t="shared" ref="A254:A262" si="141">IF(J254="","RESP","")</f>
        <v>RESP</v>
      </c>
      <c r="B254" s="20" t="str">
        <f t="shared" ref="B254:B262" si="142">IF(M254="","INIT","")</f>
        <v>INIT</v>
      </c>
      <c r="C254" s="20" t="str">
        <f t="shared" ref="C254:C262" si="143">IF(AND(J254="NO",O254=""),"CMTS","")</f>
        <v/>
      </c>
      <c r="D254" s="5"/>
      <c r="E254" s="28" t="s">
        <v>455</v>
      </c>
      <c r="F254" s="36" t="s">
        <v>456</v>
      </c>
      <c r="G254" s="30" t="s">
        <v>234</v>
      </c>
      <c r="H254" s="30" t="s">
        <v>46</v>
      </c>
      <c r="I254" s="30" t="s">
        <v>46</v>
      </c>
      <c r="J254" s="30"/>
      <c r="K254" s="30" t="s">
        <v>50</v>
      </c>
      <c r="L254" s="30"/>
      <c r="M254" s="30"/>
      <c r="N254" s="30"/>
      <c r="O254" s="31"/>
      <c r="P254" s="32"/>
      <c r="Q254" s="5"/>
      <c r="R254" s="10"/>
    </row>
    <row r="255" spans="1:18">
      <c r="A255" s="20" t="str">
        <f t="shared" si="141"/>
        <v>RESP</v>
      </c>
      <c r="B255" s="20" t="str">
        <f t="shared" si="142"/>
        <v>INIT</v>
      </c>
      <c r="C255" s="20" t="str">
        <f t="shared" si="143"/>
        <v/>
      </c>
      <c r="D255" s="5"/>
      <c r="E255" s="28" t="s">
        <v>457</v>
      </c>
      <c r="F255" s="36" t="s">
        <v>458</v>
      </c>
      <c r="G255" s="30" t="s">
        <v>234</v>
      </c>
      <c r="H255" s="30" t="s">
        <v>46</v>
      </c>
      <c r="I255" s="30" t="s">
        <v>46</v>
      </c>
      <c r="J255" s="30"/>
      <c r="K255" s="30" t="s">
        <v>50</v>
      </c>
      <c r="L255" s="30"/>
      <c r="M255" s="30"/>
      <c r="N255" s="30"/>
      <c r="O255" s="31"/>
      <c r="P255" s="32"/>
      <c r="Q255" s="5"/>
      <c r="R255" s="10"/>
    </row>
    <row r="256" spans="1:18">
      <c r="A256" s="20" t="str">
        <f t="shared" ref="A256" si="144">IF(J256="","RESP","")</f>
        <v>RESP</v>
      </c>
      <c r="B256" s="20" t="str">
        <f t="shared" ref="B256" si="145">IF(M256="","INIT","")</f>
        <v>INIT</v>
      </c>
      <c r="C256" s="20" t="str">
        <f t="shared" ref="C256" si="146">IF(AND(J256="NO",O256=""),"CMTS","")</f>
        <v/>
      </c>
      <c r="D256" s="5"/>
      <c r="E256" s="28" t="s">
        <v>459</v>
      </c>
      <c r="F256" s="36" t="s">
        <v>460</v>
      </c>
      <c r="G256" s="30" t="s">
        <v>234</v>
      </c>
      <c r="H256" s="30" t="s">
        <v>46</v>
      </c>
      <c r="I256" s="30" t="s">
        <v>46</v>
      </c>
      <c r="J256" s="30"/>
      <c r="K256" s="30" t="s">
        <v>50</v>
      </c>
      <c r="L256" s="30"/>
      <c r="M256" s="30"/>
      <c r="N256" s="30"/>
      <c r="O256" s="31"/>
      <c r="P256" s="32"/>
      <c r="Q256" s="5"/>
      <c r="R256" s="10"/>
    </row>
    <row r="257" spans="1:18">
      <c r="A257" s="20" t="str">
        <f t="shared" ref="A257" si="147">IF(J257="","RESP","")</f>
        <v>RESP</v>
      </c>
      <c r="B257" s="20" t="str">
        <f t="shared" ref="B257" si="148">IF(M257="","INIT","")</f>
        <v>INIT</v>
      </c>
      <c r="C257" s="20" t="str">
        <f t="shared" ref="C257" si="149">IF(AND(J257="NO",O257=""),"CMTS","")</f>
        <v/>
      </c>
      <c r="D257" s="5"/>
      <c r="E257" s="28" t="s">
        <v>461</v>
      </c>
      <c r="F257" s="36" t="s">
        <v>462</v>
      </c>
      <c r="G257" s="30" t="s">
        <v>234</v>
      </c>
      <c r="H257" s="30" t="s">
        <v>46</v>
      </c>
      <c r="I257" s="30" t="s">
        <v>46</v>
      </c>
      <c r="J257" s="30"/>
      <c r="K257" s="30" t="s">
        <v>50</v>
      </c>
      <c r="L257" s="30"/>
      <c r="M257" s="30"/>
      <c r="N257" s="30"/>
      <c r="O257" s="31"/>
      <c r="P257" s="32"/>
      <c r="Q257" s="5"/>
      <c r="R257" s="10"/>
    </row>
    <row r="258" spans="1:18">
      <c r="A258" s="20" t="str">
        <f t="shared" si="141"/>
        <v>RESP</v>
      </c>
      <c r="B258" s="20" t="str">
        <f t="shared" si="142"/>
        <v>INIT</v>
      </c>
      <c r="C258" s="20" t="str">
        <f t="shared" si="143"/>
        <v/>
      </c>
      <c r="D258" s="5"/>
      <c r="E258" s="28" t="s">
        <v>463</v>
      </c>
      <c r="F258" s="36" t="s">
        <v>464</v>
      </c>
      <c r="G258" s="30" t="s">
        <v>234</v>
      </c>
      <c r="H258" s="30" t="s">
        <v>46</v>
      </c>
      <c r="I258" s="30" t="s">
        <v>46</v>
      </c>
      <c r="J258" s="30"/>
      <c r="K258" s="30" t="s">
        <v>50</v>
      </c>
      <c r="L258" s="30"/>
      <c r="M258" s="30"/>
      <c r="N258" s="30"/>
      <c r="O258" s="31"/>
      <c r="P258" s="32"/>
      <c r="Q258" s="5"/>
      <c r="R258" s="10"/>
    </row>
    <row r="259" spans="1:18">
      <c r="A259" s="20" t="str">
        <f t="shared" ref="A259" si="150">IF(J259="","RESP","")</f>
        <v>RESP</v>
      </c>
      <c r="B259" s="20" t="str">
        <f t="shared" ref="B259" si="151">IF(M259="","INIT","")</f>
        <v>INIT</v>
      </c>
      <c r="C259" s="20" t="str">
        <f t="shared" ref="C259" si="152">IF(AND(J259="NO",O259=""),"CMTS","")</f>
        <v/>
      </c>
      <c r="D259" s="5"/>
      <c r="E259" s="28" t="s">
        <v>465</v>
      </c>
      <c r="F259" s="36" t="s">
        <v>466</v>
      </c>
      <c r="G259" s="30" t="s">
        <v>234</v>
      </c>
      <c r="H259" s="30" t="s">
        <v>46</v>
      </c>
      <c r="I259" s="30" t="s">
        <v>46</v>
      </c>
      <c r="J259" s="30"/>
      <c r="K259" s="30" t="s">
        <v>50</v>
      </c>
      <c r="L259" s="30"/>
      <c r="M259" s="30"/>
      <c r="N259" s="30"/>
      <c r="O259" s="31"/>
      <c r="P259" s="32"/>
      <c r="Q259" s="5"/>
      <c r="R259" s="10"/>
    </row>
    <row r="260" spans="1:18">
      <c r="A260" s="20" t="str">
        <f t="shared" ref="A260" si="153">IF(J260="","RESP","")</f>
        <v>RESP</v>
      </c>
      <c r="B260" s="20" t="str">
        <f t="shared" ref="B260" si="154">IF(M260="","INIT","")</f>
        <v>INIT</v>
      </c>
      <c r="C260" s="20" t="str">
        <f t="shared" ref="C260" si="155">IF(AND(J260="NO",O260=""),"CMTS","")</f>
        <v/>
      </c>
      <c r="D260" s="5"/>
      <c r="E260" s="28" t="s">
        <v>467</v>
      </c>
      <c r="F260" s="36" t="s">
        <v>468</v>
      </c>
      <c r="G260" s="30" t="s">
        <v>234</v>
      </c>
      <c r="H260" s="30" t="s">
        <v>46</v>
      </c>
      <c r="I260" s="30" t="s">
        <v>46</v>
      </c>
      <c r="J260" s="30"/>
      <c r="K260" s="30" t="s">
        <v>50</v>
      </c>
      <c r="L260" s="30"/>
      <c r="M260" s="30"/>
      <c r="N260" s="30"/>
      <c r="O260" s="31"/>
      <c r="P260" s="32"/>
      <c r="Q260" s="5"/>
      <c r="R260" s="10"/>
    </row>
    <row r="261" spans="1:18">
      <c r="A261" s="20" t="str">
        <f t="shared" si="141"/>
        <v>RESP</v>
      </c>
      <c r="B261" s="20" t="str">
        <f t="shared" si="142"/>
        <v>INIT</v>
      </c>
      <c r="C261" s="20" t="str">
        <f t="shared" si="143"/>
        <v/>
      </c>
      <c r="D261" s="5"/>
      <c r="E261" s="28" t="s">
        <v>469</v>
      </c>
      <c r="F261" s="36" t="s">
        <v>470</v>
      </c>
      <c r="G261" s="30" t="s">
        <v>234</v>
      </c>
      <c r="H261" s="30" t="s">
        <v>46</v>
      </c>
      <c r="I261" s="30" t="s">
        <v>46</v>
      </c>
      <c r="J261" s="30"/>
      <c r="K261" s="30" t="s">
        <v>50</v>
      </c>
      <c r="L261" s="30"/>
      <c r="M261" s="30"/>
      <c r="N261" s="30"/>
      <c r="O261" s="31"/>
      <c r="P261" s="32"/>
      <c r="Q261" s="5"/>
      <c r="R261" s="10"/>
    </row>
    <row r="262" spans="1:18">
      <c r="A262" s="20" t="str">
        <f t="shared" si="141"/>
        <v>RESP</v>
      </c>
      <c r="B262" s="20" t="str">
        <f t="shared" si="142"/>
        <v>INIT</v>
      </c>
      <c r="C262" s="20" t="str">
        <f t="shared" si="143"/>
        <v/>
      </c>
      <c r="D262" s="5"/>
      <c r="E262" s="28" t="s">
        <v>471</v>
      </c>
      <c r="F262" s="36" t="s">
        <v>472</v>
      </c>
      <c r="G262" s="30" t="s">
        <v>234</v>
      </c>
      <c r="H262" s="30" t="s">
        <v>46</v>
      </c>
      <c r="I262" s="30" t="s">
        <v>46</v>
      </c>
      <c r="J262" s="30"/>
      <c r="K262" s="30" t="s">
        <v>50</v>
      </c>
      <c r="L262" s="30"/>
      <c r="M262" s="30"/>
      <c r="N262" s="30"/>
      <c r="O262" s="31"/>
      <c r="P262" s="32"/>
      <c r="Q262" s="5"/>
      <c r="R262" s="10"/>
    </row>
    <row r="263" spans="1:18" ht="26.45">
      <c r="A263" s="20" t="str">
        <f t="shared" ref="A263" si="156">IF(J263="","RESP","")</f>
        <v>RESP</v>
      </c>
      <c r="B263" s="20" t="str">
        <f t="shared" ref="B263" si="157">IF(M263="","INIT","")</f>
        <v>INIT</v>
      </c>
      <c r="C263" s="20" t="str">
        <f t="shared" ref="C263" si="158">IF(AND(J263="NO",O263=""),"CMTS","")</f>
        <v/>
      </c>
      <c r="D263" s="5"/>
      <c r="E263" s="28" t="s">
        <v>473</v>
      </c>
      <c r="F263" s="36" t="s">
        <v>474</v>
      </c>
      <c r="G263" s="30" t="s">
        <v>234</v>
      </c>
      <c r="H263" s="30" t="s">
        <v>46</v>
      </c>
      <c r="I263" s="30" t="s">
        <v>46</v>
      </c>
      <c r="J263" s="30"/>
      <c r="K263" s="30" t="s">
        <v>47</v>
      </c>
      <c r="L263" s="30"/>
      <c r="M263" s="30"/>
      <c r="N263" s="30"/>
      <c r="O263" s="31"/>
      <c r="P263" s="32"/>
      <c r="Q263" s="5"/>
      <c r="R263" s="36" t="s">
        <v>122</v>
      </c>
    </row>
    <row r="264" spans="1:18">
      <c r="A264" s="20" t="str">
        <f t="shared" ref="A264" si="159">IF(J264="","RESP","")</f>
        <v>RESP</v>
      </c>
      <c r="B264" s="20" t="str">
        <f t="shared" ref="B264" si="160">IF(M264="","INIT","")</f>
        <v>INIT</v>
      </c>
      <c r="C264" s="20" t="str">
        <f t="shared" ref="C264" si="161">IF(AND(J264="NO",O264=""),"CMTS","")</f>
        <v/>
      </c>
      <c r="D264" s="5"/>
      <c r="E264" s="28" t="s">
        <v>475</v>
      </c>
      <c r="F264" s="36" t="s">
        <v>476</v>
      </c>
      <c r="G264" s="30" t="s">
        <v>234</v>
      </c>
      <c r="H264" s="30" t="s">
        <v>46</v>
      </c>
      <c r="I264" s="30" t="s">
        <v>46</v>
      </c>
      <c r="J264" s="30"/>
      <c r="K264" s="30" t="s">
        <v>47</v>
      </c>
      <c r="L264" s="30"/>
      <c r="M264" s="30"/>
      <c r="N264" s="30"/>
      <c r="O264" s="31"/>
      <c r="P264" s="32"/>
      <c r="Q264" s="5"/>
      <c r="R264" s="10"/>
    </row>
    <row r="265" spans="1:18" ht="26.45">
      <c r="A265" s="20" t="str">
        <f t="shared" ref="A265" si="162">IF(J265="","RESP","")</f>
        <v>RESP</v>
      </c>
      <c r="B265" s="20" t="str">
        <f t="shared" ref="B265" si="163">IF(M265="","INIT","")</f>
        <v>INIT</v>
      </c>
      <c r="C265" s="20" t="str">
        <f t="shared" ref="C265" si="164">IF(AND(J265="NO",O265=""),"CMTS","")</f>
        <v/>
      </c>
      <c r="D265" s="5"/>
      <c r="E265" s="28" t="s">
        <v>477</v>
      </c>
      <c r="F265" s="36" t="s">
        <v>478</v>
      </c>
      <c r="G265" s="30" t="s">
        <v>234</v>
      </c>
      <c r="H265" s="30" t="s">
        <v>46</v>
      </c>
      <c r="I265" s="30" t="s">
        <v>46</v>
      </c>
      <c r="J265" s="30"/>
      <c r="K265" s="30" t="s">
        <v>47</v>
      </c>
      <c r="L265" s="30"/>
      <c r="M265" s="30"/>
      <c r="N265" s="30"/>
      <c r="O265" s="31"/>
      <c r="P265" s="32"/>
      <c r="Q265" s="5"/>
      <c r="R265" s="36" t="s">
        <v>122</v>
      </c>
    </row>
    <row r="266" spans="1:18">
      <c r="A266" s="20" t="str">
        <f t="shared" ref="A266" si="165">IF(J266="","RESP","")</f>
        <v>RESP</v>
      </c>
      <c r="B266" s="20" t="str">
        <f t="shared" ref="B266" si="166">IF(M266="","INIT","")</f>
        <v>INIT</v>
      </c>
      <c r="C266" s="20" t="str">
        <f t="shared" ref="C266" si="167">IF(AND(J266="NO",O266=""),"CMTS","")</f>
        <v/>
      </c>
      <c r="D266" s="5"/>
      <c r="E266" s="28" t="s">
        <v>479</v>
      </c>
      <c r="F266" s="36" t="s">
        <v>480</v>
      </c>
      <c r="G266" s="30" t="s">
        <v>234</v>
      </c>
      <c r="H266" s="30" t="s">
        <v>46</v>
      </c>
      <c r="I266" s="30" t="s">
        <v>46</v>
      </c>
      <c r="J266" s="30"/>
      <c r="K266" s="30" t="s">
        <v>50</v>
      </c>
      <c r="L266" s="30"/>
      <c r="M266" s="30"/>
      <c r="N266" s="30"/>
      <c r="O266" s="31"/>
      <c r="P266" s="32"/>
      <c r="Q266" s="5"/>
      <c r="R266" s="36"/>
    </row>
    <row r="267" spans="1:18">
      <c r="A267" s="20" t="str">
        <f t="shared" ref="A267:A268" si="168">IF(J267="","RESP","")</f>
        <v>RESP</v>
      </c>
      <c r="B267" s="20" t="str">
        <f t="shared" ref="B267:B268" si="169">IF(M267="","INIT","")</f>
        <v>INIT</v>
      </c>
      <c r="C267" s="20" t="str">
        <f t="shared" ref="C267:C268" si="170">IF(AND(J267="NO",O267=""),"CMTS","")</f>
        <v/>
      </c>
      <c r="D267" s="5"/>
      <c r="E267" s="28" t="s">
        <v>481</v>
      </c>
      <c r="F267" s="61" t="s">
        <v>482</v>
      </c>
      <c r="G267" s="30" t="s">
        <v>234</v>
      </c>
      <c r="H267" s="30" t="s">
        <v>46</v>
      </c>
      <c r="I267" s="30" t="s">
        <v>46</v>
      </c>
      <c r="J267" s="30"/>
      <c r="K267" s="30" t="s">
        <v>50</v>
      </c>
      <c r="L267" s="30"/>
      <c r="M267" s="30"/>
      <c r="N267" s="30"/>
      <c r="O267" s="31"/>
      <c r="P267" s="32"/>
      <c r="Q267" s="5"/>
      <c r="R267" s="36"/>
    </row>
    <row r="268" spans="1:18" ht="26.45">
      <c r="A268" s="20" t="str">
        <f t="shared" si="168"/>
        <v>RESP</v>
      </c>
      <c r="B268" s="20" t="str">
        <f t="shared" si="169"/>
        <v>INIT</v>
      </c>
      <c r="C268" s="20" t="str">
        <f t="shared" si="170"/>
        <v/>
      </c>
      <c r="D268" s="5"/>
      <c r="E268" s="28" t="s">
        <v>483</v>
      </c>
      <c r="F268" s="36" t="s">
        <v>484</v>
      </c>
      <c r="G268" s="30" t="s">
        <v>234</v>
      </c>
      <c r="H268" s="30" t="s">
        <v>46</v>
      </c>
      <c r="I268" s="30" t="s">
        <v>46</v>
      </c>
      <c r="J268" s="30"/>
      <c r="K268" s="30" t="s">
        <v>47</v>
      </c>
      <c r="L268" s="30"/>
      <c r="M268" s="30"/>
      <c r="N268" s="30"/>
      <c r="O268" s="31"/>
      <c r="P268" s="32"/>
      <c r="Q268" s="5"/>
      <c r="R268" s="36" t="s">
        <v>122</v>
      </c>
    </row>
    <row r="269" spans="1:18">
      <c r="A269" s="4"/>
      <c r="B269" s="4"/>
      <c r="C269" s="4"/>
      <c r="D269" s="5"/>
      <c r="E269" s="58"/>
      <c r="F269" s="49"/>
      <c r="G269" s="46"/>
      <c r="H269" s="46"/>
      <c r="I269" s="46"/>
      <c r="J269" s="46"/>
      <c r="K269" s="46"/>
      <c r="L269" s="46"/>
      <c r="M269" s="46"/>
      <c r="N269" s="46"/>
      <c r="O269" s="47"/>
      <c r="P269" s="48"/>
      <c r="Q269" s="5"/>
      <c r="R269" s="49"/>
    </row>
    <row r="270" spans="1:18">
      <c r="A270" s="4"/>
      <c r="B270" s="4"/>
      <c r="C270" s="4"/>
      <c r="D270" s="5"/>
      <c r="E270" s="58"/>
      <c r="F270" s="49"/>
      <c r="G270" s="46"/>
      <c r="H270" s="46"/>
      <c r="I270" s="46"/>
      <c r="J270" s="46"/>
      <c r="K270" s="46"/>
      <c r="L270" s="46"/>
      <c r="M270" s="46"/>
      <c r="N270" s="46"/>
      <c r="O270" s="47"/>
      <c r="P270" s="48"/>
      <c r="Q270" s="5"/>
      <c r="R270" s="49"/>
    </row>
    <row r="271" spans="1:18" ht="27.6">
      <c r="A271" s="12" t="s">
        <v>32</v>
      </c>
      <c r="B271" s="13"/>
      <c r="C271" s="13"/>
      <c r="D271" s="2"/>
      <c r="E271" s="22" t="s">
        <v>485</v>
      </c>
      <c r="F271" s="23"/>
      <c r="G271" s="40" t="s">
        <v>34</v>
      </c>
      <c r="H271" s="40" t="s">
        <v>35</v>
      </c>
      <c r="I271" s="40" t="s">
        <v>36</v>
      </c>
      <c r="J271" s="40" t="s">
        <v>37</v>
      </c>
      <c r="K271" s="40" t="s">
        <v>38</v>
      </c>
      <c r="L271" s="40" t="s">
        <v>39</v>
      </c>
      <c r="M271" s="40" t="s">
        <v>40</v>
      </c>
      <c r="N271" s="40" t="s">
        <v>41</v>
      </c>
      <c r="O271" s="40" t="s">
        <v>1</v>
      </c>
      <c r="P271" s="41" t="s">
        <v>104</v>
      </c>
      <c r="Q271" s="2"/>
      <c r="R271" s="9" t="s">
        <v>43</v>
      </c>
    </row>
    <row r="272" spans="1:18" ht="26.45">
      <c r="A272" s="20" t="str">
        <f t="shared" ref="A272:A279" si="171">IF(J272="","RESP","")</f>
        <v>RESP</v>
      </c>
      <c r="B272" s="20" t="str">
        <f t="shared" ref="B272:B279" si="172">IF(M272="","INIT","")</f>
        <v>INIT</v>
      </c>
      <c r="C272" s="20" t="str">
        <f t="shared" ref="C272:C279" si="173">IF(AND(J272="NO",O272=""),"CMTS","")</f>
        <v/>
      </c>
      <c r="D272" s="5"/>
      <c r="E272" s="28" t="s">
        <v>486</v>
      </c>
      <c r="F272" s="36" t="s">
        <v>487</v>
      </c>
      <c r="G272" s="30" t="s">
        <v>234</v>
      </c>
      <c r="H272" s="30" t="s">
        <v>303</v>
      </c>
      <c r="I272" s="30" t="s">
        <v>261</v>
      </c>
      <c r="J272" s="30"/>
      <c r="K272" s="30" t="s">
        <v>47</v>
      </c>
      <c r="L272" s="30"/>
      <c r="M272" s="30"/>
      <c r="N272" s="30"/>
      <c r="O272" s="31"/>
      <c r="P272" s="32"/>
      <c r="Q272" s="5"/>
      <c r="R272" s="10"/>
    </row>
    <row r="273" spans="1:18">
      <c r="A273" s="20" t="str">
        <f t="shared" si="171"/>
        <v>RESP</v>
      </c>
      <c r="B273" s="20" t="str">
        <f t="shared" si="172"/>
        <v>INIT</v>
      </c>
      <c r="C273" s="20" t="str">
        <f t="shared" si="173"/>
        <v/>
      </c>
      <c r="D273" s="5"/>
      <c r="E273" s="28" t="s">
        <v>488</v>
      </c>
      <c r="F273" s="36" t="s">
        <v>489</v>
      </c>
      <c r="G273" s="30" t="s">
        <v>234</v>
      </c>
      <c r="H273" s="30" t="s">
        <v>303</v>
      </c>
      <c r="I273" s="30" t="s">
        <v>261</v>
      </c>
      <c r="J273" s="30"/>
      <c r="K273" s="30" t="s">
        <v>47</v>
      </c>
      <c r="L273" s="30"/>
      <c r="M273" s="30"/>
      <c r="N273" s="30"/>
      <c r="O273" s="31"/>
      <c r="P273" s="32"/>
      <c r="Q273" s="5"/>
      <c r="R273" s="10"/>
    </row>
    <row r="274" spans="1:18" ht="26.45">
      <c r="A274" s="20" t="str">
        <f t="shared" si="171"/>
        <v>RESP</v>
      </c>
      <c r="B274" s="20" t="str">
        <f t="shared" si="172"/>
        <v>INIT</v>
      </c>
      <c r="C274" s="20" t="str">
        <f t="shared" si="173"/>
        <v/>
      </c>
      <c r="D274" s="5"/>
      <c r="E274" s="28" t="s">
        <v>490</v>
      </c>
      <c r="F274" s="36" t="s">
        <v>491</v>
      </c>
      <c r="G274" s="30" t="s">
        <v>234</v>
      </c>
      <c r="H274" s="30" t="s">
        <v>281</v>
      </c>
      <c r="I274" s="30" t="s">
        <v>261</v>
      </c>
      <c r="J274" s="30"/>
      <c r="K274" s="30" t="s">
        <v>47</v>
      </c>
      <c r="L274" s="30"/>
      <c r="M274" s="30"/>
      <c r="N274" s="30"/>
      <c r="O274" s="31"/>
      <c r="P274" s="32"/>
      <c r="Q274" s="5"/>
      <c r="R274" s="10"/>
    </row>
    <row r="275" spans="1:18">
      <c r="A275" s="20" t="str">
        <f t="shared" si="171"/>
        <v>RESP</v>
      </c>
      <c r="B275" s="20" t="str">
        <f t="shared" si="172"/>
        <v>INIT</v>
      </c>
      <c r="C275" s="20" t="str">
        <f t="shared" si="173"/>
        <v/>
      </c>
      <c r="D275" s="5"/>
      <c r="E275" s="28" t="s">
        <v>492</v>
      </c>
      <c r="F275" s="36" t="s">
        <v>493</v>
      </c>
      <c r="G275" s="30" t="s">
        <v>234</v>
      </c>
      <c r="H275" s="30" t="s">
        <v>315</v>
      </c>
      <c r="I275" s="30" t="s">
        <v>261</v>
      </c>
      <c r="J275" s="30"/>
      <c r="K275" s="30" t="s">
        <v>47</v>
      </c>
      <c r="L275" s="30"/>
      <c r="M275" s="30"/>
      <c r="N275" s="30"/>
      <c r="O275" s="31"/>
      <c r="P275" s="32"/>
      <c r="Q275" s="5"/>
      <c r="R275" s="10"/>
    </row>
    <row r="276" spans="1:18" ht="39.6">
      <c r="A276" s="20" t="str">
        <f t="shared" si="171"/>
        <v>RESP</v>
      </c>
      <c r="B276" s="20" t="str">
        <f t="shared" si="172"/>
        <v>INIT</v>
      </c>
      <c r="C276" s="20" t="str">
        <f t="shared" si="173"/>
        <v/>
      </c>
      <c r="D276" s="5"/>
      <c r="E276" s="28" t="s">
        <v>494</v>
      </c>
      <c r="F276" s="36" t="s">
        <v>495</v>
      </c>
      <c r="G276" s="30" t="s">
        <v>234</v>
      </c>
      <c r="H276" s="30" t="s">
        <v>315</v>
      </c>
      <c r="I276" s="30" t="s">
        <v>261</v>
      </c>
      <c r="J276" s="30"/>
      <c r="K276" s="30" t="s">
        <v>47</v>
      </c>
      <c r="L276" s="30"/>
      <c r="M276" s="30"/>
      <c r="N276" s="30"/>
      <c r="O276" s="31"/>
      <c r="P276" s="32"/>
      <c r="Q276" s="5"/>
      <c r="R276" s="10"/>
    </row>
    <row r="277" spans="1:18" ht="30.6" customHeight="1">
      <c r="A277" s="20" t="str">
        <f t="shared" si="171"/>
        <v>RESP</v>
      </c>
      <c r="B277" s="20" t="str">
        <f t="shared" si="172"/>
        <v>INIT</v>
      </c>
      <c r="C277" s="20" t="str">
        <f t="shared" si="173"/>
        <v/>
      </c>
      <c r="D277" s="5"/>
      <c r="E277" s="37" t="s">
        <v>496</v>
      </c>
      <c r="F277" s="39" t="s">
        <v>497</v>
      </c>
      <c r="G277" s="30" t="s">
        <v>234</v>
      </c>
      <c r="H277" s="30" t="s">
        <v>281</v>
      </c>
      <c r="I277" s="30" t="s">
        <v>46</v>
      </c>
      <c r="J277" s="30"/>
      <c r="K277" s="30" t="s">
        <v>47</v>
      </c>
      <c r="L277" s="30"/>
      <c r="M277" s="30"/>
      <c r="N277" s="30"/>
      <c r="O277" s="31"/>
      <c r="P277" s="32"/>
      <c r="Q277" s="5"/>
      <c r="R277" s="10"/>
    </row>
    <row r="278" spans="1:18" ht="26.45">
      <c r="A278" s="20" t="str">
        <f t="shared" si="171"/>
        <v>RESP</v>
      </c>
      <c r="B278" s="20" t="str">
        <f t="shared" si="172"/>
        <v>INIT</v>
      </c>
      <c r="C278" s="20" t="str">
        <f t="shared" si="173"/>
        <v/>
      </c>
      <c r="D278" s="5"/>
      <c r="E278" s="37" t="s">
        <v>498</v>
      </c>
      <c r="F278" s="39" t="s">
        <v>499</v>
      </c>
      <c r="G278" s="30" t="s">
        <v>234</v>
      </c>
      <c r="H278" s="30" t="s">
        <v>281</v>
      </c>
      <c r="I278" s="30" t="s">
        <v>46</v>
      </c>
      <c r="J278" s="30"/>
      <c r="K278" s="30" t="s">
        <v>47</v>
      </c>
      <c r="L278" s="30"/>
      <c r="M278" s="30"/>
      <c r="N278" s="30"/>
      <c r="O278" s="31"/>
      <c r="P278" s="32"/>
      <c r="Q278" s="5"/>
      <c r="R278" s="10"/>
    </row>
    <row r="279" spans="1:18" ht="26.45">
      <c r="A279" s="20" t="str">
        <f t="shared" si="171"/>
        <v>RESP</v>
      </c>
      <c r="B279" s="20" t="str">
        <f t="shared" si="172"/>
        <v>INIT</v>
      </c>
      <c r="C279" s="20" t="str">
        <f t="shared" si="173"/>
        <v/>
      </c>
      <c r="D279" s="5"/>
      <c r="E279" s="37" t="s">
        <v>500</v>
      </c>
      <c r="F279" s="39" t="s">
        <v>501</v>
      </c>
      <c r="G279" s="30" t="s">
        <v>234</v>
      </c>
      <c r="H279" s="30" t="s">
        <v>281</v>
      </c>
      <c r="I279" s="30" t="s">
        <v>46</v>
      </c>
      <c r="J279" s="30"/>
      <c r="K279" s="30" t="s">
        <v>47</v>
      </c>
      <c r="L279" s="30"/>
      <c r="M279" s="30"/>
      <c r="N279" s="30"/>
      <c r="O279" s="31"/>
      <c r="P279" s="32"/>
      <c r="Q279" s="5"/>
      <c r="R279" s="10"/>
    </row>
    <row r="280" spans="1:18" ht="91.5">
      <c r="A280" s="20" t="str">
        <f t="shared" ref="A280:A282" si="174">IF(J280="","RESP","")</f>
        <v>RESP</v>
      </c>
      <c r="B280" s="20" t="str">
        <f t="shared" ref="B280:B282" si="175">IF(M280="","INIT","")</f>
        <v>INIT</v>
      </c>
      <c r="C280" s="20" t="str">
        <f t="shared" ref="C280:C282" si="176">IF(AND(J280="NO",O280=""),"CMTS","")</f>
        <v/>
      </c>
      <c r="D280" s="5"/>
      <c r="E280" s="43" t="s">
        <v>502</v>
      </c>
      <c r="F280" s="42" t="s">
        <v>503</v>
      </c>
      <c r="G280" s="30" t="s">
        <v>234</v>
      </c>
      <c r="H280" s="30" t="s">
        <v>504</v>
      </c>
      <c r="I280" s="30" t="s">
        <v>261</v>
      </c>
      <c r="J280" s="30"/>
      <c r="K280" s="30" t="s">
        <v>47</v>
      </c>
      <c r="L280" s="30"/>
      <c r="M280" s="30"/>
      <c r="N280" s="30"/>
      <c r="O280" s="31"/>
      <c r="P280" s="32"/>
      <c r="Q280" s="5"/>
      <c r="R280" s="10"/>
    </row>
    <row r="281" spans="1:18" ht="52.5">
      <c r="A281" s="20" t="str">
        <f t="shared" si="174"/>
        <v>RESP</v>
      </c>
      <c r="B281" s="20" t="str">
        <f t="shared" si="175"/>
        <v>INIT</v>
      </c>
      <c r="C281" s="20" t="str">
        <f t="shared" si="176"/>
        <v/>
      </c>
      <c r="D281" s="5"/>
      <c r="E281" s="43" t="s">
        <v>505</v>
      </c>
      <c r="F281" s="42" t="s">
        <v>506</v>
      </c>
      <c r="G281" s="30" t="s">
        <v>234</v>
      </c>
      <c r="H281" s="30" t="s">
        <v>504</v>
      </c>
      <c r="I281" s="30" t="s">
        <v>261</v>
      </c>
      <c r="J281" s="30"/>
      <c r="K281" s="30" t="s">
        <v>47</v>
      </c>
      <c r="L281" s="30"/>
      <c r="M281" s="30"/>
      <c r="N281" s="30"/>
      <c r="O281" s="31"/>
      <c r="P281" s="32"/>
      <c r="Q281" s="5"/>
      <c r="R281" s="10"/>
    </row>
    <row r="282" spans="1:18" ht="26.45">
      <c r="A282" s="20" t="str">
        <f t="shared" si="174"/>
        <v>RESP</v>
      </c>
      <c r="B282" s="20" t="str">
        <f t="shared" si="175"/>
        <v>INIT</v>
      </c>
      <c r="C282" s="20" t="str">
        <f t="shared" si="176"/>
        <v/>
      </c>
      <c r="D282" s="5"/>
      <c r="E282" s="43" t="s">
        <v>507</v>
      </c>
      <c r="F282" s="42" t="s">
        <v>508</v>
      </c>
      <c r="G282" s="30" t="s">
        <v>234</v>
      </c>
      <c r="H282" s="30" t="s">
        <v>504</v>
      </c>
      <c r="I282" s="30" t="s">
        <v>261</v>
      </c>
      <c r="J282" s="30"/>
      <c r="K282" s="30" t="s">
        <v>47</v>
      </c>
      <c r="L282" s="30"/>
      <c r="M282" s="30"/>
      <c r="N282" s="30"/>
      <c r="O282" s="31"/>
      <c r="P282" s="32"/>
      <c r="Q282" s="5"/>
      <c r="R282" s="10"/>
    </row>
    <row r="283" spans="1:18">
      <c r="A283" s="4"/>
      <c r="B283" s="4"/>
      <c r="C283" s="4"/>
      <c r="D283" s="5"/>
      <c r="E283" s="49"/>
      <c r="F283" s="49"/>
      <c r="Q283" s="5"/>
      <c r="R283" s="8"/>
    </row>
    <row r="284" spans="1:18">
      <c r="A284" s="4"/>
      <c r="B284" s="4"/>
      <c r="C284" s="4"/>
      <c r="D284" s="5"/>
      <c r="E284" s="49"/>
      <c r="F284" s="49"/>
      <c r="Q284" s="5"/>
      <c r="R284" s="8"/>
    </row>
    <row r="285" spans="1:18" ht="27.6">
      <c r="A285" s="12" t="s">
        <v>32</v>
      </c>
      <c r="B285" s="13"/>
      <c r="C285" s="13"/>
      <c r="D285" s="2"/>
      <c r="E285" s="22" t="s">
        <v>509</v>
      </c>
      <c r="F285" s="23"/>
      <c r="G285" s="40" t="s">
        <v>34</v>
      </c>
      <c r="H285" s="40" t="s">
        <v>35</v>
      </c>
      <c r="I285" s="40" t="s">
        <v>36</v>
      </c>
      <c r="J285" s="40" t="s">
        <v>37</v>
      </c>
      <c r="K285" s="40" t="s">
        <v>38</v>
      </c>
      <c r="L285" s="40" t="s">
        <v>39</v>
      </c>
      <c r="M285" s="40" t="s">
        <v>40</v>
      </c>
      <c r="N285" s="40" t="s">
        <v>41</v>
      </c>
      <c r="O285" s="40" t="s">
        <v>1</v>
      </c>
      <c r="P285" s="41" t="s">
        <v>104</v>
      </c>
      <c r="Q285" s="2"/>
      <c r="R285" s="9" t="s">
        <v>43</v>
      </c>
    </row>
    <row r="286" spans="1:18">
      <c r="A286" s="20" t="str">
        <f t="shared" ref="A286:A288" si="177">IF(J286="","RESP","")</f>
        <v>RESP</v>
      </c>
      <c r="B286" s="20" t="str">
        <f t="shared" ref="B286:B288" si="178">IF(M286="","INIT","")</f>
        <v>INIT</v>
      </c>
      <c r="C286" s="20" t="str">
        <f t="shared" ref="C286:C288" si="179">IF(AND(J286="NO",O286=""),"CMTS","")</f>
        <v/>
      </c>
      <c r="D286" s="5"/>
      <c r="E286" s="28" t="s">
        <v>510</v>
      </c>
      <c r="F286" s="36" t="s">
        <v>511</v>
      </c>
      <c r="G286" s="30" t="s">
        <v>234</v>
      </c>
      <c r="H286" s="30" t="s">
        <v>512</v>
      </c>
      <c r="I286" s="30" t="s">
        <v>46</v>
      </c>
      <c r="J286" s="30"/>
      <c r="K286" s="30" t="s">
        <v>47</v>
      </c>
      <c r="L286" s="30"/>
      <c r="M286" s="30"/>
      <c r="N286" s="30"/>
      <c r="O286" s="31"/>
      <c r="P286" s="32"/>
      <c r="Q286" s="5"/>
      <c r="R286" s="10"/>
    </row>
    <row r="287" spans="1:18">
      <c r="A287" s="20" t="str">
        <f t="shared" si="177"/>
        <v>RESP</v>
      </c>
      <c r="B287" s="20" t="str">
        <f t="shared" si="178"/>
        <v>INIT</v>
      </c>
      <c r="C287" s="20" t="str">
        <f t="shared" si="179"/>
        <v/>
      </c>
      <c r="D287" s="5"/>
      <c r="E287" s="28" t="s">
        <v>513</v>
      </c>
      <c r="F287" s="36" t="s">
        <v>514</v>
      </c>
      <c r="G287" s="30" t="s">
        <v>234</v>
      </c>
      <c r="H287" s="30" t="s">
        <v>512</v>
      </c>
      <c r="I287" s="30" t="s">
        <v>46</v>
      </c>
      <c r="J287" s="30"/>
      <c r="K287" s="30" t="s">
        <v>47</v>
      </c>
      <c r="L287" s="30"/>
      <c r="M287" s="30"/>
      <c r="N287" s="30"/>
      <c r="O287" s="31"/>
      <c r="P287" s="32"/>
      <c r="Q287" s="5"/>
      <c r="R287" s="10"/>
    </row>
    <row r="288" spans="1:18">
      <c r="A288" s="20" t="str">
        <f t="shared" si="177"/>
        <v>RESP</v>
      </c>
      <c r="B288" s="20" t="str">
        <f t="shared" si="178"/>
        <v>INIT</v>
      </c>
      <c r="C288" s="20" t="str">
        <f t="shared" si="179"/>
        <v/>
      </c>
      <c r="D288" s="5"/>
      <c r="E288" s="28" t="s">
        <v>515</v>
      </c>
      <c r="F288" s="36" t="s">
        <v>516</v>
      </c>
      <c r="G288" s="30" t="s">
        <v>234</v>
      </c>
      <c r="H288" s="30" t="s">
        <v>512</v>
      </c>
      <c r="I288" s="30" t="s">
        <v>46</v>
      </c>
      <c r="J288" s="30"/>
      <c r="K288" s="30" t="s">
        <v>47</v>
      </c>
      <c r="L288" s="30"/>
      <c r="M288" s="30"/>
      <c r="N288" s="30"/>
      <c r="O288" s="31"/>
      <c r="P288" s="32"/>
      <c r="Q288" s="5"/>
      <c r="R288" s="10"/>
    </row>
    <row r="289" spans="1:18">
      <c r="A289" s="20" t="str">
        <f t="shared" ref="A289" si="180">IF(J289="","RESP","")</f>
        <v>RESP</v>
      </c>
      <c r="B289" s="20" t="str">
        <f t="shared" ref="B289" si="181">IF(M289="","INIT","")</f>
        <v>INIT</v>
      </c>
      <c r="C289" s="20" t="str">
        <f t="shared" ref="C289" si="182">IF(AND(J289="NO",O289=""),"CMTS","")</f>
        <v/>
      </c>
      <c r="D289" s="5"/>
      <c r="E289" s="28" t="s">
        <v>517</v>
      </c>
      <c r="F289" s="36" t="s">
        <v>518</v>
      </c>
      <c r="G289" s="30" t="s">
        <v>234</v>
      </c>
      <c r="H289" s="30" t="s">
        <v>512</v>
      </c>
      <c r="I289" s="30" t="s">
        <v>46</v>
      </c>
      <c r="J289" s="30"/>
      <c r="K289" s="30" t="s">
        <v>47</v>
      </c>
      <c r="L289" s="30"/>
      <c r="M289" s="30"/>
      <c r="N289" s="30"/>
      <c r="O289" s="31"/>
      <c r="P289" s="32"/>
      <c r="Q289" s="5"/>
      <c r="R289" s="10"/>
    </row>
    <row r="290" spans="1:18">
      <c r="A290" s="4"/>
      <c r="B290" s="4"/>
      <c r="C290" s="4"/>
      <c r="D290" s="5"/>
      <c r="E290" s="49"/>
      <c r="Q290" s="5"/>
      <c r="R290" s="8"/>
    </row>
    <row r="291" spans="1:18">
      <c r="A291" s="4"/>
      <c r="B291" s="4"/>
      <c r="C291" s="4"/>
      <c r="D291" s="5"/>
      <c r="E291" s="49"/>
      <c r="F291" s="49"/>
      <c r="Q291" s="5"/>
      <c r="R291" s="8"/>
    </row>
    <row r="292" spans="1:18" ht="27.6">
      <c r="A292" s="12" t="s">
        <v>32</v>
      </c>
      <c r="B292" s="13"/>
      <c r="C292" s="13"/>
      <c r="D292" s="2"/>
      <c r="E292" s="22" t="s">
        <v>519</v>
      </c>
      <c r="F292" s="23"/>
      <c r="G292" s="40" t="s">
        <v>34</v>
      </c>
      <c r="H292" s="40" t="s">
        <v>35</v>
      </c>
      <c r="I292" s="40" t="s">
        <v>36</v>
      </c>
      <c r="J292" s="40" t="s">
        <v>37</v>
      </c>
      <c r="K292" s="40" t="s">
        <v>38</v>
      </c>
      <c r="L292" s="40" t="s">
        <v>39</v>
      </c>
      <c r="M292" s="40" t="s">
        <v>40</v>
      </c>
      <c r="N292" s="40" t="s">
        <v>41</v>
      </c>
      <c r="O292" s="40" t="s">
        <v>1</v>
      </c>
      <c r="P292" s="41" t="s">
        <v>104</v>
      </c>
      <c r="Q292" s="2"/>
      <c r="R292" s="9" t="s">
        <v>43</v>
      </c>
    </row>
    <row r="293" spans="1:18">
      <c r="A293" s="20" t="str">
        <f t="shared" ref="A293:A294" si="183">IF(J293="","RESP","")</f>
        <v>RESP</v>
      </c>
      <c r="B293" s="20" t="str">
        <f t="shared" ref="B293:B294" si="184">IF(M293="","INIT","")</f>
        <v>INIT</v>
      </c>
      <c r="C293" s="20" t="str">
        <f t="shared" ref="C293:C294" si="185">IF(AND(J293="NO",O293=""),"CMTS","")</f>
        <v/>
      </c>
      <c r="D293" s="2"/>
      <c r="E293" s="28" t="s">
        <v>520</v>
      </c>
      <c r="F293" s="33" t="s">
        <v>521</v>
      </c>
      <c r="G293" s="30" t="s">
        <v>234</v>
      </c>
      <c r="H293" s="30" t="s">
        <v>46</v>
      </c>
      <c r="I293" s="30" t="s">
        <v>46</v>
      </c>
      <c r="J293" s="30"/>
      <c r="K293" s="30" t="s">
        <v>47</v>
      </c>
      <c r="L293" s="30"/>
      <c r="M293" s="30"/>
      <c r="N293" s="30"/>
      <c r="O293" s="31"/>
      <c r="P293" s="32"/>
      <c r="Q293" s="5"/>
      <c r="R293" s="10"/>
    </row>
    <row r="294" spans="1:18">
      <c r="A294" s="20" t="str">
        <f t="shared" si="183"/>
        <v>RESP</v>
      </c>
      <c r="B294" s="20" t="str">
        <f t="shared" si="184"/>
        <v>INIT</v>
      </c>
      <c r="C294" s="20" t="str">
        <f t="shared" si="185"/>
        <v/>
      </c>
      <c r="D294" s="5"/>
      <c r="E294" s="28" t="s">
        <v>522</v>
      </c>
      <c r="F294" s="33" t="s">
        <v>523</v>
      </c>
      <c r="G294" s="30" t="s">
        <v>234</v>
      </c>
      <c r="H294" s="30" t="s">
        <v>46</v>
      </c>
      <c r="I294" s="30" t="s">
        <v>46</v>
      </c>
      <c r="J294" s="30"/>
      <c r="K294" s="30" t="s">
        <v>50</v>
      </c>
      <c r="L294" s="30"/>
      <c r="M294" s="30"/>
      <c r="N294" s="30"/>
      <c r="O294" s="31"/>
      <c r="P294" s="32"/>
      <c r="Q294" s="5"/>
      <c r="R294" s="10"/>
    </row>
    <row r="295" spans="1:18">
      <c r="A295" s="20" t="str">
        <f t="shared" ref="A295:A296" si="186">IF(J295="","RESP","")</f>
        <v>RESP</v>
      </c>
      <c r="B295" s="20" t="str">
        <f t="shared" ref="B295:B296" si="187">IF(M295="","INIT","")</f>
        <v>INIT</v>
      </c>
      <c r="C295" s="20" t="str">
        <f t="shared" ref="C295:C296" si="188">IF(AND(J295="NO",O295=""),"CMTS","")</f>
        <v/>
      </c>
      <c r="D295" s="2"/>
      <c r="E295" s="28" t="s">
        <v>524</v>
      </c>
      <c r="F295" s="33" t="s">
        <v>525</v>
      </c>
      <c r="G295" s="30" t="s">
        <v>234</v>
      </c>
      <c r="H295" s="30" t="s">
        <v>46</v>
      </c>
      <c r="I295" s="30" t="s">
        <v>46</v>
      </c>
      <c r="J295" s="30"/>
      <c r="K295" s="30" t="s">
        <v>47</v>
      </c>
      <c r="L295" s="30"/>
      <c r="M295" s="30"/>
      <c r="N295" s="30"/>
      <c r="O295" s="31"/>
      <c r="P295" s="32"/>
      <c r="Q295" s="5"/>
      <c r="R295" s="10"/>
    </row>
    <row r="296" spans="1:18">
      <c r="A296" s="20" t="str">
        <f t="shared" si="186"/>
        <v>RESP</v>
      </c>
      <c r="B296" s="20" t="str">
        <f t="shared" si="187"/>
        <v>INIT</v>
      </c>
      <c r="C296" s="20" t="str">
        <f t="shared" si="188"/>
        <v/>
      </c>
      <c r="D296" s="5"/>
      <c r="E296" s="28" t="s">
        <v>526</v>
      </c>
      <c r="F296" s="33" t="s">
        <v>527</v>
      </c>
      <c r="G296" s="30" t="s">
        <v>234</v>
      </c>
      <c r="H296" s="30" t="s">
        <v>46</v>
      </c>
      <c r="I296" s="30" t="s">
        <v>46</v>
      </c>
      <c r="J296" s="30"/>
      <c r="K296" s="30" t="s">
        <v>50</v>
      </c>
      <c r="L296" s="30"/>
      <c r="M296" s="30"/>
      <c r="N296" s="30"/>
      <c r="O296" s="31"/>
      <c r="P296" s="32"/>
      <c r="Q296" s="5"/>
      <c r="R296" s="10"/>
    </row>
    <row r="297" spans="1:18">
      <c r="A297" s="20" t="str">
        <f t="shared" ref="A297:A318" si="189">IF(J297="","RESP","")</f>
        <v>RESP</v>
      </c>
      <c r="B297" s="20" t="str">
        <f t="shared" ref="B297:B318" si="190">IF(M297="","INIT","")</f>
        <v>INIT</v>
      </c>
      <c r="C297" s="20" t="str">
        <f t="shared" ref="C297:C318" si="191">IF(AND(J297="NO",O297=""),"CMTS","")</f>
        <v/>
      </c>
      <c r="D297" s="5"/>
      <c r="E297" s="28" t="s">
        <v>528</v>
      </c>
      <c r="F297" s="36" t="s">
        <v>529</v>
      </c>
      <c r="G297" s="30" t="s">
        <v>234</v>
      </c>
      <c r="H297" s="30" t="s">
        <v>46</v>
      </c>
      <c r="I297" s="30" t="s">
        <v>46</v>
      </c>
      <c r="J297" s="30"/>
      <c r="K297" s="30" t="s">
        <v>47</v>
      </c>
      <c r="L297" s="30"/>
      <c r="M297" s="30"/>
      <c r="N297" s="30"/>
      <c r="O297" s="31"/>
      <c r="P297" s="32"/>
      <c r="Q297" s="5"/>
      <c r="R297" s="10"/>
    </row>
    <row r="298" spans="1:18">
      <c r="A298" s="20" t="str">
        <f t="shared" si="189"/>
        <v>RESP</v>
      </c>
      <c r="B298" s="20" t="str">
        <f t="shared" si="190"/>
        <v>INIT</v>
      </c>
      <c r="C298" s="20" t="str">
        <f t="shared" si="191"/>
        <v/>
      </c>
      <c r="D298" s="5"/>
      <c r="E298" s="28" t="s">
        <v>530</v>
      </c>
      <c r="F298" s="36" t="s">
        <v>531</v>
      </c>
      <c r="G298" s="30" t="s">
        <v>234</v>
      </c>
      <c r="H298" s="30" t="s">
        <v>46</v>
      </c>
      <c r="I298" s="30" t="s">
        <v>46</v>
      </c>
      <c r="J298" s="30"/>
      <c r="K298" s="30" t="s">
        <v>47</v>
      </c>
      <c r="L298" s="30"/>
      <c r="M298" s="30"/>
      <c r="N298" s="30"/>
      <c r="O298" s="31"/>
      <c r="P298" s="32"/>
      <c r="Q298" s="5"/>
      <c r="R298" s="10"/>
    </row>
    <row r="299" spans="1:18">
      <c r="A299" s="20" t="str">
        <f t="shared" si="189"/>
        <v>RESP</v>
      </c>
      <c r="B299" s="20" t="str">
        <f t="shared" si="190"/>
        <v>INIT</v>
      </c>
      <c r="C299" s="20" t="str">
        <f t="shared" si="191"/>
        <v/>
      </c>
      <c r="D299" s="5"/>
      <c r="E299" s="28" t="s">
        <v>532</v>
      </c>
      <c r="F299" s="36" t="s">
        <v>533</v>
      </c>
      <c r="G299" s="30" t="s">
        <v>234</v>
      </c>
      <c r="H299" s="30" t="s">
        <v>46</v>
      </c>
      <c r="I299" s="30" t="s">
        <v>46</v>
      </c>
      <c r="J299" s="30"/>
      <c r="K299" s="30" t="s">
        <v>47</v>
      </c>
      <c r="L299" s="30"/>
      <c r="M299" s="30"/>
      <c r="N299" s="30"/>
      <c r="O299" s="31"/>
      <c r="P299" s="32"/>
      <c r="Q299" s="5"/>
      <c r="R299" s="10"/>
    </row>
    <row r="300" spans="1:18">
      <c r="A300" s="20" t="str">
        <f t="shared" si="189"/>
        <v>RESP</v>
      </c>
      <c r="B300" s="20" t="str">
        <f t="shared" si="190"/>
        <v>INIT</v>
      </c>
      <c r="C300" s="20" t="str">
        <f t="shared" si="191"/>
        <v/>
      </c>
      <c r="D300" s="5"/>
      <c r="E300" s="28" t="s">
        <v>534</v>
      </c>
      <c r="F300" s="36" t="s">
        <v>535</v>
      </c>
      <c r="G300" s="30" t="s">
        <v>234</v>
      </c>
      <c r="H300" s="30" t="s">
        <v>46</v>
      </c>
      <c r="I300" s="30" t="s">
        <v>46</v>
      </c>
      <c r="J300" s="30"/>
      <c r="K300" s="30" t="s">
        <v>50</v>
      </c>
      <c r="L300" s="30"/>
      <c r="M300" s="30"/>
      <c r="N300" s="30"/>
      <c r="O300" s="31"/>
      <c r="P300" s="32"/>
      <c r="Q300" s="5"/>
      <c r="R300" s="10"/>
    </row>
    <row r="301" spans="1:18">
      <c r="A301" s="20" t="str">
        <f t="shared" si="189"/>
        <v>RESP</v>
      </c>
      <c r="B301" s="20" t="str">
        <f t="shared" si="190"/>
        <v>INIT</v>
      </c>
      <c r="C301" s="20" t="str">
        <f t="shared" si="191"/>
        <v/>
      </c>
      <c r="D301" s="5"/>
      <c r="E301" s="28" t="s">
        <v>536</v>
      </c>
      <c r="F301" s="36" t="s">
        <v>537</v>
      </c>
      <c r="G301" s="30" t="s">
        <v>234</v>
      </c>
      <c r="H301" s="30" t="s">
        <v>46</v>
      </c>
      <c r="I301" s="30" t="s">
        <v>46</v>
      </c>
      <c r="J301" s="30"/>
      <c r="K301" s="30" t="s">
        <v>47</v>
      </c>
      <c r="L301" s="30"/>
      <c r="M301" s="30"/>
      <c r="N301" s="30"/>
      <c r="O301" s="31"/>
      <c r="P301" s="32"/>
      <c r="Q301" s="5"/>
      <c r="R301" s="10"/>
    </row>
    <row r="302" spans="1:18" ht="28.5" customHeight="1">
      <c r="A302" s="20" t="str">
        <f t="shared" si="189"/>
        <v>RESP</v>
      </c>
      <c r="B302" s="20" t="str">
        <f t="shared" si="190"/>
        <v>INIT</v>
      </c>
      <c r="C302" s="20" t="str">
        <f t="shared" si="191"/>
        <v/>
      </c>
      <c r="D302" s="5"/>
      <c r="E302" s="28" t="s">
        <v>538</v>
      </c>
      <c r="F302" s="36" t="s">
        <v>539</v>
      </c>
      <c r="G302" s="30" t="s">
        <v>234</v>
      </c>
      <c r="H302" s="30" t="s">
        <v>46</v>
      </c>
      <c r="I302" s="30" t="s">
        <v>46</v>
      </c>
      <c r="J302" s="30"/>
      <c r="K302" s="30" t="s">
        <v>47</v>
      </c>
      <c r="L302" s="30"/>
      <c r="M302" s="30"/>
      <c r="N302" s="30"/>
      <c r="O302" s="31"/>
      <c r="P302" s="32"/>
      <c r="Q302" s="5"/>
      <c r="R302" s="10"/>
    </row>
    <row r="303" spans="1:18">
      <c r="A303" s="20" t="str">
        <f t="shared" si="189"/>
        <v>RESP</v>
      </c>
      <c r="B303" s="20" t="str">
        <f t="shared" si="190"/>
        <v>INIT</v>
      </c>
      <c r="C303" s="20" t="str">
        <f t="shared" si="191"/>
        <v/>
      </c>
      <c r="D303" s="5"/>
      <c r="E303" s="28" t="s">
        <v>540</v>
      </c>
      <c r="F303" s="36" t="s">
        <v>541</v>
      </c>
      <c r="G303" s="30" t="s">
        <v>234</v>
      </c>
      <c r="H303" s="30" t="s">
        <v>46</v>
      </c>
      <c r="I303" s="30" t="s">
        <v>46</v>
      </c>
      <c r="J303" s="30"/>
      <c r="K303" s="30" t="s">
        <v>50</v>
      </c>
      <c r="L303" s="30"/>
      <c r="M303" s="30"/>
      <c r="N303" s="30"/>
      <c r="O303" s="31"/>
      <c r="P303" s="32"/>
      <c r="Q303" s="5"/>
      <c r="R303" s="10"/>
    </row>
    <row r="304" spans="1:18">
      <c r="A304" s="20" t="str">
        <f t="shared" si="189"/>
        <v>RESP</v>
      </c>
      <c r="B304" s="20" t="str">
        <f t="shared" si="190"/>
        <v>INIT</v>
      </c>
      <c r="C304" s="20" t="str">
        <f t="shared" si="191"/>
        <v/>
      </c>
      <c r="D304" s="5"/>
      <c r="E304" s="28" t="s">
        <v>542</v>
      </c>
      <c r="F304" s="36" t="s">
        <v>543</v>
      </c>
      <c r="G304" s="30" t="s">
        <v>234</v>
      </c>
      <c r="H304" s="30" t="s">
        <v>46</v>
      </c>
      <c r="I304" s="30" t="s">
        <v>46</v>
      </c>
      <c r="J304" s="30"/>
      <c r="K304" s="30" t="s">
        <v>47</v>
      </c>
      <c r="L304" s="30"/>
      <c r="M304" s="30"/>
      <c r="N304" s="30"/>
      <c r="O304" s="31"/>
      <c r="P304" s="32"/>
      <c r="Q304" s="5"/>
      <c r="R304" s="10"/>
    </row>
    <row r="305" spans="1:18" ht="26.45">
      <c r="A305" s="20" t="str">
        <f t="shared" si="189"/>
        <v>RESP</v>
      </c>
      <c r="B305" s="20" t="str">
        <f t="shared" si="190"/>
        <v>INIT</v>
      </c>
      <c r="C305" s="20" t="str">
        <f t="shared" si="191"/>
        <v/>
      </c>
      <c r="D305" s="5"/>
      <c r="E305" s="28" t="s">
        <v>544</v>
      </c>
      <c r="F305" s="36" t="s">
        <v>545</v>
      </c>
      <c r="G305" s="30" t="s">
        <v>234</v>
      </c>
      <c r="H305" s="30" t="s">
        <v>46</v>
      </c>
      <c r="I305" s="30" t="s">
        <v>46</v>
      </c>
      <c r="J305" s="30"/>
      <c r="K305" s="30" t="s">
        <v>50</v>
      </c>
      <c r="L305" s="30"/>
      <c r="M305" s="30"/>
      <c r="N305" s="30"/>
      <c r="O305" s="31"/>
      <c r="P305" s="32"/>
      <c r="Q305" s="5"/>
      <c r="R305" s="10"/>
    </row>
    <row r="306" spans="1:18">
      <c r="A306" s="20" t="str">
        <f t="shared" si="189"/>
        <v>RESP</v>
      </c>
      <c r="B306" s="20" t="str">
        <f t="shared" si="190"/>
        <v>INIT</v>
      </c>
      <c r="C306" s="20" t="str">
        <f t="shared" si="191"/>
        <v/>
      </c>
      <c r="D306" s="5"/>
      <c r="E306" s="28" t="s">
        <v>546</v>
      </c>
      <c r="F306" s="36" t="s">
        <v>547</v>
      </c>
      <c r="G306" s="30" t="s">
        <v>234</v>
      </c>
      <c r="H306" s="30" t="s">
        <v>46</v>
      </c>
      <c r="I306" s="30" t="s">
        <v>46</v>
      </c>
      <c r="J306" s="30"/>
      <c r="K306" s="30" t="s">
        <v>50</v>
      </c>
      <c r="L306" s="30"/>
      <c r="M306" s="30"/>
      <c r="N306" s="30"/>
      <c r="O306" s="31"/>
      <c r="P306" s="32"/>
      <c r="Q306" s="5"/>
      <c r="R306" s="10"/>
    </row>
    <row r="307" spans="1:18">
      <c r="A307" s="20" t="str">
        <f t="shared" si="189"/>
        <v>RESP</v>
      </c>
      <c r="B307" s="20" t="str">
        <f t="shared" si="190"/>
        <v>INIT</v>
      </c>
      <c r="C307" s="20" t="str">
        <f t="shared" si="191"/>
        <v/>
      </c>
      <c r="D307" s="5"/>
      <c r="E307" s="28" t="s">
        <v>548</v>
      </c>
      <c r="F307" s="33" t="s">
        <v>549</v>
      </c>
      <c r="G307" s="30" t="s">
        <v>234</v>
      </c>
      <c r="H307" s="30" t="s">
        <v>46</v>
      </c>
      <c r="I307" s="30" t="s">
        <v>46</v>
      </c>
      <c r="J307" s="30"/>
      <c r="K307" s="30" t="s">
        <v>47</v>
      </c>
      <c r="L307" s="30"/>
      <c r="M307" s="30"/>
      <c r="N307" s="30"/>
      <c r="O307" s="31"/>
      <c r="P307" s="32"/>
      <c r="Q307" s="5"/>
      <c r="R307" s="10"/>
    </row>
    <row r="308" spans="1:18">
      <c r="A308" s="20" t="str">
        <f t="shared" si="189"/>
        <v>RESP</v>
      </c>
      <c r="B308" s="20" t="str">
        <f t="shared" si="190"/>
        <v>INIT</v>
      </c>
      <c r="C308" s="20" t="str">
        <f t="shared" si="191"/>
        <v/>
      </c>
      <c r="D308" s="5"/>
      <c r="E308" s="28" t="s">
        <v>550</v>
      </c>
      <c r="F308" s="33" t="s">
        <v>551</v>
      </c>
      <c r="G308" s="30" t="s">
        <v>234</v>
      </c>
      <c r="H308" s="30" t="s">
        <v>46</v>
      </c>
      <c r="I308" s="30" t="s">
        <v>46</v>
      </c>
      <c r="J308" s="30"/>
      <c r="K308" s="30" t="s">
        <v>47</v>
      </c>
      <c r="L308" s="30"/>
      <c r="M308" s="30"/>
      <c r="N308" s="30"/>
      <c r="O308" s="31"/>
      <c r="P308" s="32"/>
      <c r="Q308" s="5"/>
      <c r="R308" s="10"/>
    </row>
    <row r="309" spans="1:18">
      <c r="A309" s="20" t="str">
        <f t="shared" si="189"/>
        <v>RESP</v>
      </c>
      <c r="B309" s="20" t="str">
        <f t="shared" si="190"/>
        <v>INIT</v>
      </c>
      <c r="C309" s="20" t="str">
        <f t="shared" si="191"/>
        <v/>
      </c>
      <c r="D309" s="5"/>
      <c r="E309" s="28" t="s">
        <v>552</v>
      </c>
      <c r="F309" s="33" t="s">
        <v>553</v>
      </c>
      <c r="G309" s="30" t="s">
        <v>234</v>
      </c>
      <c r="H309" s="30" t="s">
        <v>46</v>
      </c>
      <c r="I309" s="30" t="s">
        <v>46</v>
      </c>
      <c r="J309" s="30"/>
      <c r="K309" s="30" t="s">
        <v>50</v>
      </c>
      <c r="L309" s="30"/>
      <c r="M309" s="30"/>
      <c r="N309" s="30"/>
      <c r="O309" s="31"/>
      <c r="P309" s="32"/>
      <c r="Q309" s="5"/>
      <c r="R309" s="10"/>
    </row>
    <row r="310" spans="1:18">
      <c r="A310" s="20" t="str">
        <f t="shared" si="189"/>
        <v>RESP</v>
      </c>
      <c r="B310" s="20" t="str">
        <f t="shared" si="190"/>
        <v>INIT</v>
      </c>
      <c r="C310" s="20" t="str">
        <f t="shared" si="191"/>
        <v/>
      </c>
      <c r="D310" s="5"/>
      <c r="E310" s="28" t="s">
        <v>554</v>
      </c>
      <c r="F310" s="33" t="s">
        <v>555</v>
      </c>
      <c r="G310" s="30" t="s">
        <v>234</v>
      </c>
      <c r="H310" s="30" t="s">
        <v>46</v>
      </c>
      <c r="I310" s="30" t="s">
        <v>46</v>
      </c>
      <c r="J310" s="30"/>
      <c r="K310" s="30" t="s">
        <v>50</v>
      </c>
      <c r="L310" s="30"/>
      <c r="M310" s="30"/>
      <c r="N310" s="30"/>
      <c r="O310" s="31"/>
      <c r="P310" s="32"/>
      <c r="Q310" s="5"/>
      <c r="R310" s="10"/>
    </row>
    <row r="311" spans="1:18">
      <c r="A311" s="20" t="str">
        <f t="shared" si="189"/>
        <v>RESP</v>
      </c>
      <c r="B311" s="20" t="str">
        <f t="shared" si="190"/>
        <v>INIT</v>
      </c>
      <c r="C311" s="20" t="str">
        <f t="shared" si="191"/>
        <v/>
      </c>
      <c r="D311" s="5"/>
      <c r="E311" s="28" t="s">
        <v>556</v>
      </c>
      <c r="F311" s="36" t="s">
        <v>557</v>
      </c>
      <c r="G311" s="30" t="s">
        <v>234</v>
      </c>
      <c r="H311" s="30" t="s">
        <v>46</v>
      </c>
      <c r="I311" s="30" t="s">
        <v>46</v>
      </c>
      <c r="J311" s="30"/>
      <c r="K311" s="30" t="s">
        <v>50</v>
      </c>
      <c r="L311" s="30"/>
      <c r="M311" s="30"/>
      <c r="N311" s="30"/>
      <c r="O311" s="31"/>
      <c r="P311" s="32"/>
      <c r="Q311" s="5"/>
      <c r="R311" s="10"/>
    </row>
    <row r="312" spans="1:18">
      <c r="A312" s="20" t="str">
        <f t="shared" si="189"/>
        <v>RESP</v>
      </c>
      <c r="B312" s="20" t="str">
        <f t="shared" si="190"/>
        <v>INIT</v>
      </c>
      <c r="C312" s="20" t="str">
        <f t="shared" si="191"/>
        <v/>
      </c>
      <c r="D312" s="5"/>
      <c r="E312" s="28" t="s">
        <v>558</v>
      </c>
      <c r="F312" s="36" t="s">
        <v>559</v>
      </c>
      <c r="G312" s="30" t="s">
        <v>234</v>
      </c>
      <c r="H312" s="30" t="s">
        <v>46</v>
      </c>
      <c r="I312" s="30" t="s">
        <v>46</v>
      </c>
      <c r="J312" s="30"/>
      <c r="K312" s="30" t="s">
        <v>47</v>
      </c>
      <c r="L312" s="30"/>
      <c r="M312" s="30"/>
      <c r="N312" s="30"/>
      <c r="O312" s="31"/>
      <c r="P312" s="32"/>
      <c r="Q312" s="5"/>
      <c r="R312" s="10"/>
    </row>
    <row r="313" spans="1:18">
      <c r="A313" s="20" t="str">
        <f t="shared" si="189"/>
        <v>RESP</v>
      </c>
      <c r="B313" s="20" t="str">
        <f t="shared" si="190"/>
        <v>INIT</v>
      </c>
      <c r="C313" s="20" t="str">
        <f t="shared" si="191"/>
        <v/>
      </c>
      <c r="D313" s="5"/>
      <c r="E313" s="28" t="s">
        <v>560</v>
      </c>
      <c r="F313" s="36" t="s">
        <v>561</v>
      </c>
      <c r="G313" s="30" t="s">
        <v>234</v>
      </c>
      <c r="H313" s="30" t="s">
        <v>46</v>
      </c>
      <c r="I313" s="30" t="s">
        <v>46</v>
      </c>
      <c r="J313" s="30"/>
      <c r="K313" s="30" t="s">
        <v>47</v>
      </c>
      <c r="L313" s="30"/>
      <c r="M313" s="30"/>
      <c r="N313" s="30"/>
      <c r="O313" s="31"/>
      <c r="P313" s="32"/>
      <c r="Q313" s="5"/>
      <c r="R313" s="10"/>
    </row>
    <row r="314" spans="1:18">
      <c r="A314" s="20" t="str">
        <f t="shared" si="189"/>
        <v>RESP</v>
      </c>
      <c r="B314" s="20" t="str">
        <f t="shared" si="190"/>
        <v>INIT</v>
      </c>
      <c r="C314" s="20" t="str">
        <f t="shared" si="191"/>
        <v/>
      </c>
      <c r="D314" s="5"/>
      <c r="E314" s="28" t="s">
        <v>562</v>
      </c>
      <c r="F314" s="36" t="s">
        <v>563</v>
      </c>
      <c r="G314" s="30" t="s">
        <v>234</v>
      </c>
      <c r="H314" s="30" t="s">
        <v>46</v>
      </c>
      <c r="I314" s="30" t="s">
        <v>46</v>
      </c>
      <c r="J314" s="30"/>
      <c r="K314" s="30" t="s">
        <v>50</v>
      </c>
      <c r="L314" s="30"/>
      <c r="M314" s="30"/>
      <c r="N314" s="30"/>
      <c r="O314" s="31"/>
      <c r="P314" s="32"/>
      <c r="Q314" s="5"/>
      <c r="R314" s="10"/>
    </row>
    <row r="315" spans="1:18">
      <c r="A315" s="20" t="str">
        <f t="shared" si="189"/>
        <v>RESP</v>
      </c>
      <c r="B315" s="20" t="str">
        <f t="shared" si="190"/>
        <v>INIT</v>
      </c>
      <c r="C315" s="20" t="str">
        <f t="shared" si="191"/>
        <v/>
      </c>
      <c r="D315" s="5"/>
      <c r="E315" s="28" t="s">
        <v>564</v>
      </c>
      <c r="F315" s="36" t="s">
        <v>565</v>
      </c>
      <c r="G315" s="30" t="s">
        <v>234</v>
      </c>
      <c r="H315" s="30" t="s">
        <v>46</v>
      </c>
      <c r="I315" s="30" t="s">
        <v>46</v>
      </c>
      <c r="J315" s="30"/>
      <c r="K315" s="30" t="s">
        <v>50</v>
      </c>
      <c r="L315" s="30"/>
      <c r="M315" s="30"/>
      <c r="N315" s="30"/>
      <c r="O315" s="31"/>
      <c r="P315" s="32"/>
      <c r="Q315" s="5"/>
      <c r="R315" s="10"/>
    </row>
    <row r="316" spans="1:18">
      <c r="A316" s="20" t="str">
        <f t="shared" si="189"/>
        <v>RESP</v>
      </c>
      <c r="B316" s="20" t="str">
        <f t="shared" si="190"/>
        <v>INIT</v>
      </c>
      <c r="C316" s="20" t="str">
        <f t="shared" si="191"/>
        <v/>
      </c>
      <c r="D316" s="5"/>
      <c r="E316" s="28" t="s">
        <v>566</v>
      </c>
      <c r="F316" s="36" t="s">
        <v>567</v>
      </c>
      <c r="G316" s="30" t="s">
        <v>234</v>
      </c>
      <c r="H316" s="30" t="s">
        <v>46</v>
      </c>
      <c r="I316" s="30" t="s">
        <v>46</v>
      </c>
      <c r="J316" s="30"/>
      <c r="K316" s="30" t="s">
        <v>50</v>
      </c>
      <c r="L316" s="30"/>
      <c r="M316" s="30"/>
      <c r="N316" s="30"/>
      <c r="O316" s="31"/>
      <c r="P316" s="32"/>
      <c r="Q316" s="5"/>
      <c r="R316" s="10"/>
    </row>
    <row r="317" spans="1:18">
      <c r="A317" s="20" t="str">
        <f t="shared" si="189"/>
        <v>RESP</v>
      </c>
      <c r="B317" s="20" t="str">
        <f t="shared" si="190"/>
        <v>INIT</v>
      </c>
      <c r="C317" s="20" t="str">
        <f t="shared" si="191"/>
        <v/>
      </c>
      <c r="D317" s="5"/>
      <c r="E317" s="28" t="s">
        <v>568</v>
      </c>
      <c r="F317" s="36" t="s">
        <v>569</v>
      </c>
      <c r="G317" s="30" t="s">
        <v>234</v>
      </c>
      <c r="H317" s="30" t="s">
        <v>46</v>
      </c>
      <c r="I317" s="30" t="s">
        <v>46</v>
      </c>
      <c r="J317" s="30"/>
      <c r="K317" s="30" t="s">
        <v>47</v>
      </c>
      <c r="L317" s="30"/>
      <c r="M317" s="30"/>
      <c r="N317" s="30"/>
      <c r="O317" s="31"/>
      <c r="P317" s="32"/>
      <c r="Q317" s="5"/>
      <c r="R317" s="10"/>
    </row>
    <row r="318" spans="1:18">
      <c r="A318" s="20" t="str">
        <f t="shared" si="189"/>
        <v>RESP</v>
      </c>
      <c r="B318" s="20" t="str">
        <f t="shared" si="190"/>
        <v>INIT</v>
      </c>
      <c r="C318" s="20" t="str">
        <f t="shared" si="191"/>
        <v/>
      </c>
      <c r="D318" s="5"/>
      <c r="E318" s="28" t="s">
        <v>570</v>
      </c>
      <c r="F318" s="36" t="s">
        <v>571</v>
      </c>
      <c r="G318" s="30" t="s">
        <v>234</v>
      </c>
      <c r="H318" s="30" t="s">
        <v>46</v>
      </c>
      <c r="I318" s="30" t="s">
        <v>46</v>
      </c>
      <c r="J318" s="30"/>
      <c r="K318" s="30" t="s">
        <v>47</v>
      </c>
      <c r="L318" s="30"/>
      <c r="M318" s="30"/>
      <c r="N318" s="30"/>
      <c r="O318" s="31"/>
      <c r="P318" s="32"/>
      <c r="Q318" s="5"/>
      <c r="R318" s="10"/>
    </row>
    <row r="319" spans="1:18" ht="78.599999999999994">
      <c r="A319" s="20" t="str">
        <f t="shared" ref="A319" si="192">IF(J319="","RESP","")</f>
        <v>RESP</v>
      </c>
      <c r="B319" s="20" t="str">
        <f t="shared" ref="B319" si="193">IF(M319="","INIT","")</f>
        <v>INIT</v>
      </c>
      <c r="C319" s="20" t="str">
        <f t="shared" ref="C319" si="194">IF(AND(J319="NO",O319=""),"CMTS","")</f>
        <v/>
      </c>
      <c r="D319" s="5"/>
      <c r="E319" s="28" t="s">
        <v>572</v>
      </c>
      <c r="F319" s="33" t="s">
        <v>573</v>
      </c>
      <c r="G319" s="30" t="s">
        <v>234</v>
      </c>
      <c r="H319" s="30" t="s">
        <v>46</v>
      </c>
      <c r="I319" s="30" t="s">
        <v>46</v>
      </c>
      <c r="J319" s="30"/>
      <c r="K319" s="30" t="s">
        <v>50</v>
      </c>
      <c r="L319" s="30"/>
      <c r="M319" s="30"/>
      <c r="N319" s="30"/>
      <c r="O319" s="31"/>
      <c r="P319" s="32"/>
      <c r="Q319" s="5"/>
      <c r="R319" s="10"/>
    </row>
    <row r="320" spans="1:18">
      <c r="A320" s="20" t="str">
        <f t="shared" ref="A320" si="195">IF(J320="","RESP","")</f>
        <v>RESP</v>
      </c>
      <c r="B320" s="20" t="str">
        <f t="shared" ref="B320" si="196">IF(M320="","INIT","")</f>
        <v>INIT</v>
      </c>
      <c r="C320" s="20" t="str">
        <f t="shared" ref="C320" si="197">IF(AND(J320="NO",O320=""),"CMTS","")</f>
        <v/>
      </c>
      <c r="D320" s="5"/>
      <c r="E320" s="28" t="s">
        <v>574</v>
      </c>
      <c r="F320" s="36" t="s">
        <v>575</v>
      </c>
      <c r="G320" s="30" t="s">
        <v>234</v>
      </c>
      <c r="H320" s="30" t="s">
        <v>46</v>
      </c>
      <c r="I320" s="30" t="s">
        <v>46</v>
      </c>
      <c r="J320" s="30"/>
      <c r="K320" s="30" t="s">
        <v>47</v>
      </c>
      <c r="L320" s="30"/>
      <c r="M320" s="30"/>
      <c r="N320" s="30"/>
      <c r="O320" s="31"/>
      <c r="P320" s="32"/>
      <c r="Q320" s="5"/>
      <c r="R320" s="10"/>
    </row>
    <row r="323" spans="1:18" ht="27.6">
      <c r="A323" s="12" t="s">
        <v>32</v>
      </c>
      <c r="B323" s="13"/>
      <c r="C323" s="13"/>
      <c r="D323" s="2"/>
      <c r="E323" s="22" t="s">
        <v>576</v>
      </c>
      <c r="F323" s="23"/>
      <c r="G323" s="40" t="s">
        <v>34</v>
      </c>
      <c r="H323" s="40" t="s">
        <v>35</v>
      </c>
      <c r="I323" s="40" t="s">
        <v>36</v>
      </c>
      <c r="J323" s="40" t="s">
        <v>37</v>
      </c>
      <c r="K323" s="40" t="s">
        <v>38</v>
      </c>
      <c r="L323" s="40" t="s">
        <v>39</v>
      </c>
      <c r="M323" s="40" t="s">
        <v>40</v>
      </c>
      <c r="N323" s="40" t="s">
        <v>41</v>
      </c>
      <c r="O323" s="40" t="s">
        <v>1</v>
      </c>
      <c r="P323" s="41" t="s">
        <v>104</v>
      </c>
      <c r="Q323" s="2"/>
      <c r="R323" s="9" t="s">
        <v>43</v>
      </c>
    </row>
    <row r="324" spans="1:18">
      <c r="A324" s="20" t="str">
        <f t="shared" ref="A324:A329" si="198">IF(J324="","RESP","")</f>
        <v>RESP</v>
      </c>
      <c r="B324" s="20" t="str">
        <f t="shared" ref="B324:B329" si="199">IF(M324="","INIT","")</f>
        <v>INIT</v>
      </c>
      <c r="C324" s="20" t="str">
        <f t="shared" ref="C324:C329" si="200">IF(AND(J324="NO",O324=""),"CMTS","")</f>
        <v/>
      </c>
      <c r="D324" s="5"/>
      <c r="E324" s="28" t="s">
        <v>577</v>
      </c>
      <c r="F324" s="36" t="s">
        <v>578</v>
      </c>
      <c r="G324" s="30" t="s">
        <v>234</v>
      </c>
      <c r="H324" s="30" t="s">
        <v>281</v>
      </c>
      <c r="I324" s="30" t="s">
        <v>46</v>
      </c>
      <c r="J324" s="30"/>
      <c r="K324" s="30" t="s">
        <v>47</v>
      </c>
      <c r="L324" s="30"/>
      <c r="M324" s="30"/>
      <c r="N324" s="30"/>
      <c r="O324" s="31"/>
      <c r="P324" s="32"/>
      <c r="Q324" s="5"/>
      <c r="R324" s="10"/>
    </row>
    <row r="325" spans="1:18">
      <c r="A325" s="20" t="str">
        <f t="shared" si="198"/>
        <v>RESP</v>
      </c>
      <c r="B325" s="20" t="str">
        <f t="shared" si="199"/>
        <v>INIT</v>
      </c>
      <c r="C325" s="20" t="str">
        <f t="shared" si="200"/>
        <v/>
      </c>
      <c r="D325" s="5"/>
      <c r="E325" s="28" t="s">
        <v>579</v>
      </c>
      <c r="F325" s="36" t="s">
        <v>580</v>
      </c>
      <c r="G325" s="30" t="s">
        <v>234</v>
      </c>
      <c r="H325" s="30" t="s">
        <v>315</v>
      </c>
      <c r="I325" s="30" t="s">
        <v>46</v>
      </c>
      <c r="J325" s="30"/>
      <c r="K325" s="30" t="s">
        <v>47</v>
      </c>
      <c r="L325" s="30"/>
      <c r="M325" s="30"/>
      <c r="N325" s="30"/>
      <c r="O325" s="31"/>
      <c r="P325" s="32"/>
      <c r="Q325" s="5"/>
      <c r="R325" s="10"/>
    </row>
    <row r="326" spans="1:18" ht="26.45">
      <c r="A326" s="20" t="str">
        <f t="shared" si="198"/>
        <v>RESP</v>
      </c>
      <c r="B326" s="20" t="str">
        <f t="shared" si="199"/>
        <v>INIT</v>
      </c>
      <c r="C326" s="20" t="str">
        <f t="shared" si="200"/>
        <v/>
      </c>
      <c r="D326" s="5"/>
      <c r="E326" s="28" t="s">
        <v>581</v>
      </c>
      <c r="F326" s="36" t="s">
        <v>582</v>
      </c>
      <c r="G326" s="30" t="s">
        <v>234</v>
      </c>
      <c r="H326" s="30" t="s">
        <v>281</v>
      </c>
      <c r="I326" s="30" t="s">
        <v>46</v>
      </c>
      <c r="J326" s="30"/>
      <c r="K326" s="30" t="s">
        <v>47</v>
      </c>
      <c r="L326" s="30"/>
      <c r="M326" s="30"/>
      <c r="N326" s="30"/>
      <c r="O326" s="31"/>
      <c r="P326" s="32"/>
      <c r="Q326" s="5"/>
      <c r="R326" s="10"/>
    </row>
    <row r="327" spans="1:18" ht="26.45">
      <c r="A327" s="20" t="str">
        <f t="shared" si="198"/>
        <v>RESP</v>
      </c>
      <c r="B327" s="20" t="str">
        <f t="shared" si="199"/>
        <v>INIT</v>
      </c>
      <c r="C327" s="20" t="str">
        <f t="shared" si="200"/>
        <v/>
      </c>
      <c r="D327" s="5"/>
      <c r="E327" s="37" t="s">
        <v>583</v>
      </c>
      <c r="F327" s="39" t="s">
        <v>584</v>
      </c>
      <c r="G327" s="30" t="s">
        <v>234</v>
      </c>
      <c r="H327" s="30" t="s">
        <v>315</v>
      </c>
      <c r="I327" s="30" t="s">
        <v>585</v>
      </c>
      <c r="J327" s="30"/>
      <c r="K327" s="30" t="s">
        <v>50</v>
      </c>
      <c r="L327" s="30"/>
      <c r="M327" s="30"/>
      <c r="N327" s="30"/>
      <c r="O327" s="31"/>
      <c r="P327" s="32"/>
      <c r="Q327" s="5"/>
      <c r="R327" s="10"/>
    </row>
    <row r="328" spans="1:18" ht="26.45">
      <c r="A328" s="20" t="str">
        <f t="shared" si="198"/>
        <v>RESP</v>
      </c>
      <c r="B328" s="20" t="str">
        <f t="shared" si="199"/>
        <v>INIT</v>
      </c>
      <c r="C328" s="20" t="str">
        <f t="shared" si="200"/>
        <v/>
      </c>
      <c r="D328" s="5"/>
      <c r="E328" s="37" t="s">
        <v>586</v>
      </c>
      <c r="F328" s="39" t="s">
        <v>587</v>
      </c>
      <c r="G328" s="30" t="s">
        <v>234</v>
      </c>
      <c r="H328" s="30" t="s">
        <v>315</v>
      </c>
      <c r="I328" s="30" t="s">
        <v>585</v>
      </c>
      <c r="J328" s="30"/>
      <c r="K328" s="30" t="s">
        <v>50</v>
      </c>
      <c r="L328" s="30"/>
      <c r="M328" s="30"/>
      <c r="N328" s="30"/>
      <c r="O328" s="31"/>
      <c r="P328" s="32"/>
      <c r="Q328" s="5"/>
      <c r="R328" s="10"/>
    </row>
    <row r="329" spans="1:18" ht="26.45">
      <c r="A329" s="20" t="str">
        <f t="shared" si="198"/>
        <v>RESP</v>
      </c>
      <c r="B329" s="20" t="str">
        <f t="shared" si="199"/>
        <v>INIT</v>
      </c>
      <c r="C329" s="20" t="str">
        <f t="shared" si="200"/>
        <v/>
      </c>
      <c r="D329" s="5"/>
      <c r="E329" s="37" t="s">
        <v>588</v>
      </c>
      <c r="F329" s="39" t="s">
        <v>589</v>
      </c>
      <c r="G329" s="30" t="s">
        <v>234</v>
      </c>
      <c r="H329" s="30" t="s">
        <v>315</v>
      </c>
      <c r="I329" s="30" t="s">
        <v>585</v>
      </c>
      <c r="J329" s="30"/>
      <c r="K329" s="30" t="s">
        <v>47</v>
      </c>
      <c r="L329" s="30"/>
      <c r="M329" s="30"/>
      <c r="N329" s="30"/>
      <c r="O329" s="31"/>
      <c r="P329" s="32"/>
      <c r="Q329" s="5"/>
      <c r="R329" s="10"/>
    </row>
    <row r="332" spans="1:18" ht="27.6">
      <c r="A332" s="12" t="s">
        <v>32</v>
      </c>
      <c r="B332" s="13"/>
      <c r="C332" s="13"/>
      <c r="D332" s="2"/>
      <c r="E332" s="22" t="s">
        <v>590</v>
      </c>
      <c r="F332" s="23"/>
      <c r="G332" s="40" t="s">
        <v>34</v>
      </c>
      <c r="H332" s="40" t="s">
        <v>35</v>
      </c>
      <c r="I332" s="40" t="s">
        <v>36</v>
      </c>
      <c r="J332" s="40" t="s">
        <v>37</v>
      </c>
      <c r="K332" s="40" t="s">
        <v>38</v>
      </c>
      <c r="L332" s="40" t="s">
        <v>39</v>
      </c>
      <c r="M332" s="40" t="s">
        <v>40</v>
      </c>
      <c r="N332" s="40" t="s">
        <v>41</v>
      </c>
      <c r="O332" s="40" t="s">
        <v>1</v>
      </c>
      <c r="P332" s="41" t="s">
        <v>104</v>
      </c>
      <c r="Q332" s="2"/>
      <c r="R332" s="9" t="s">
        <v>43</v>
      </c>
    </row>
    <row r="333" spans="1:18">
      <c r="A333" s="20" t="str">
        <f t="shared" ref="A333" si="201">IF(J333="","RESP","")</f>
        <v>RESP</v>
      </c>
      <c r="B333" s="20" t="str">
        <f t="shared" ref="B333" si="202">IF(M333="","INIT","")</f>
        <v>INIT</v>
      </c>
      <c r="C333" s="20" t="str">
        <f t="shared" ref="C333" si="203">IF(AND(J333="NO",O333=""),"CMTS","")</f>
        <v/>
      </c>
      <c r="D333" s="5"/>
      <c r="E333" s="28" t="s">
        <v>591</v>
      </c>
      <c r="F333" s="36" t="s">
        <v>592</v>
      </c>
      <c r="G333" s="30" t="s">
        <v>234</v>
      </c>
      <c r="H333" s="30" t="s">
        <v>512</v>
      </c>
      <c r="I333" s="30" t="s">
        <v>46</v>
      </c>
      <c r="J333" s="30"/>
      <c r="K333" s="30" t="s">
        <v>47</v>
      </c>
      <c r="L333" s="30"/>
      <c r="M333" s="30"/>
      <c r="N333" s="30"/>
      <c r="O333" s="31"/>
      <c r="P333" s="32"/>
      <c r="Q333" s="5"/>
      <c r="R333" s="10"/>
    </row>
    <row r="336" spans="1:18" ht="27.6">
      <c r="A336" s="12" t="s">
        <v>32</v>
      </c>
      <c r="B336" s="13"/>
      <c r="C336" s="13"/>
      <c r="D336" s="2"/>
      <c r="E336" s="22" t="s">
        <v>593</v>
      </c>
      <c r="F336" s="23"/>
      <c r="G336" s="40" t="s">
        <v>34</v>
      </c>
      <c r="H336" s="40" t="s">
        <v>35</v>
      </c>
      <c r="I336" s="40" t="s">
        <v>36</v>
      </c>
      <c r="J336" s="40" t="s">
        <v>37</v>
      </c>
      <c r="K336" s="40" t="s">
        <v>38</v>
      </c>
      <c r="L336" s="40" t="s">
        <v>39</v>
      </c>
      <c r="M336" s="40" t="s">
        <v>40</v>
      </c>
      <c r="N336" s="40" t="s">
        <v>41</v>
      </c>
      <c r="O336" s="40" t="s">
        <v>1</v>
      </c>
      <c r="P336" s="41" t="s">
        <v>104</v>
      </c>
      <c r="Q336" s="2"/>
      <c r="R336" s="9" t="s">
        <v>43</v>
      </c>
    </row>
    <row r="337" spans="1:18">
      <c r="A337" s="20" t="str">
        <f t="shared" ref="A337:A355" si="204">IF(J337="","RESP","")</f>
        <v>RESP</v>
      </c>
      <c r="B337" s="20" t="str">
        <f t="shared" ref="B337:B355" si="205">IF(M337="","INIT","")</f>
        <v>INIT</v>
      </c>
      <c r="C337" s="20" t="str">
        <f t="shared" ref="C337:C355" si="206">IF(AND(J337="NO",O337=""),"CMTS","")</f>
        <v/>
      </c>
      <c r="D337" s="5"/>
      <c r="E337" s="28" t="s">
        <v>594</v>
      </c>
      <c r="F337" s="36" t="s">
        <v>595</v>
      </c>
      <c r="G337" s="30" t="s">
        <v>234</v>
      </c>
      <c r="H337" s="30" t="s">
        <v>46</v>
      </c>
      <c r="I337" s="30" t="s">
        <v>46</v>
      </c>
      <c r="J337" s="30"/>
      <c r="K337" s="30" t="s">
        <v>47</v>
      </c>
      <c r="L337" s="30"/>
      <c r="M337" s="30"/>
      <c r="N337" s="30"/>
      <c r="O337" s="31"/>
      <c r="P337" s="32"/>
      <c r="Q337" s="5"/>
      <c r="R337" s="10"/>
    </row>
    <row r="338" spans="1:18">
      <c r="A338" s="20" t="str">
        <f t="shared" ref="A338" si="207">IF(J338="","RESP","")</f>
        <v>RESP</v>
      </c>
      <c r="B338" s="20" t="str">
        <f t="shared" ref="B338" si="208">IF(M338="","INIT","")</f>
        <v>INIT</v>
      </c>
      <c r="C338" s="20" t="str">
        <f t="shared" ref="C338" si="209">IF(AND(J338="NO",O338=""),"CMTS","")</f>
        <v/>
      </c>
      <c r="D338" s="5"/>
      <c r="E338" s="28" t="s">
        <v>596</v>
      </c>
      <c r="F338" s="36" t="s">
        <v>597</v>
      </c>
      <c r="G338" s="30" t="s">
        <v>234</v>
      </c>
      <c r="H338" s="30" t="s">
        <v>46</v>
      </c>
      <c r="I338" s="30" t="s">
        <v>46</v>
      </c>
      <c r="J338" s="30"/>
      <c r="K338" s="30" t="s">
        <v>47</v>
      </c>
      <c r="L338" s="30"/>
      <c r="M338" s="30"/>
      <c r="N338" s="30"/>
      <c r="O338" s="31"/>
      <c r="P338" s="32"/>
      <c r="Q338" s="5"/>
      <c r="R338" s="10"/>
    </row>
    <row r="339" spans="1:18">
      <c r="A339" s="20" t="str">
        <f t="shared" si="204"/>
        <v>RESP</v>
      </c>
      <c r="B339" s="20" t="str">
        <f t="shared" si="205"/>
        <v>INIT</v>
      </c>
      <c r="C339" s="20" t="str">
        <f t="shared" si="206"/>
        <v/>
      </c>
      <c r="D339" s="5"/>
      <c r="E339" s="28" t="s">
        <v>598</v>
      </c>
      <c r="F339" s="36" t="s">
        <v>599</v>
      </c>
      <c r="G339" s="30" t="s">
        <v>234</v>
      </c>
      <c r="H339" s="30" t="s">
        <v>46</v>
      </c>
      <c r="I339" s="30" t="s">
        <v>46</v>
      </c>
      <c r="J339" s="30"/>
      <c r="K339" s="30" t="s">
        <v>47</v>
      </c>
      <c r="L339" s="30"/>
      <c r="M339" s="30"/>
      <c r="N339" s="30"/>
      <c r="O339" s="31"/>
      <c r="P339" s="32"/>
      <c r="Q339" s="5"/>
      <c r="R339" s="10"/>
    </row>
    <row r="340" spans="1:18" ht="26.45">
      <c r="A340" s="20" t="str">
        <f t="shared" si="204"/>
        <v>RESP</v>
      </c>
      <c r="B340" s="20" t="str">
        <f t="shared" si="205"/>
        <v>INIT</v>
      </c>
      <c r="C340" s="20" t="str">
        <f t="shared" si="206"/>
        <v/>
      </c>
      <c r="D340" s="5"/>
      <c r="E340" s="28" t="s">
        <v>600</v>
      </c>
      <c r="F340" s="36" t="s">
        <v>601</v>
      </c>
      <c r="G340" s="30" t="s">
        <v>234</v>
      </c>
      <c r="H340" s="30" t="s">
        <v>46</v>
      </c>
      <c r="I340" s="30" t="s">
        <v>46</v>
      </c>
      <c r="J340" s="30"/>
      <c r="K340" s="30" t="s">
        <v>47</v>
      </c>
      <c r="L340" s="30"/>
      <c r="M340" s="30"/>
      <c r="N340" s="30"/>
      <c r="O340" s="31"/>
      <c r="P340" s="32"/>
      <c r="Q340" s="5"/>
      <c r="R340" s="10"/>
    </row>
    <row r="341" spans="1:18" ht="26.45">
      <c r="A341" s="20" t="str">
        <f t="shared" si="204"/>
        <v>RESP</v>
      </c>
      <c r="B341" s="20" t="str">
        <f t="shared" si="205"/>
        <v>INIT</v>
      </c>
      <c r="C341" s="20" t="str">
        <f t="shared" si="206"/>
        <v/>
      </c>
      <c r="D341" s="5"/>
      <c r="E341" s="28" t="s">
        <v>602</v>
      </c>
      <c r="F341" s="36" t="s">
        <v>603</v>
      </c>
      <c r="G341" s="30" t="s">
        <v>234</v>
      </c>
      <c r="H341" s="30" t="s">
        <v>46</v>
      </c>
      <c r="I341" s="30" t="s">
        <v>46</v>
      </c>
      <c r="J341" s="30"/>
      <c r="K341" s="30" t="s">
        <v>50</v>
      </c>
      <c r="L341" s="30"/>
      <c r="M341" s="30"/>
      <c r="N341" s="30"/>
      <c r="O341" s="31"/>
      <c r="P341" s="32"/>
      <c r="Q341" s="5"/>
      <c r="R341" s="10"/>
    </row>
    <row r="342" spans="1:18">
      <c r="A342" s="20" t="str">
        <f t="shared" si="204"/>
        <v>RESP</v>
      </c>
      <c r="B342" s="20" t="str">
        <f t="shared" si="205"/>
        <v>INIT</v>
      </c>
      <c r="C342" s="20" t="str">
        <f t="shared" si="206"/>
        <v/>
      </c>
      <c r="D342" s="5"/>
      <c r="E342" s="28" t="s">
        <v>604</v>
      </c>
      <c r="F342" s="36" t="s">
        <v>605</v>
      </c>
      <c r="G342" s="30" t="s">
        <v>234</v>
      </c>
      <c r="H342" s="30" t="s">
        <v>46</v>
      </c>
      <c r="I342" s="30" t="s">
        <v>46</v>
      </c>
      <c r="J342" s="30"/>
      <c r="K342" s="30" t="s">
        <v>50</v>
      </c>
      <c r="L342" s="30"/>
      <c r="M342" s="30"/>
      <c r="N342" s="30"/>
      <c r="O342" s="31"/>
      <c r="P342" s="32"/>
      <c r="Q342" s="5"/>
      <c r="R342" s="10"/>
    </row>
    <row r="343" spans="1:18">
      <c r="A343" s="20" t="str">
        <f t="shared" si="204"/>
        <v>RESP</v>
      </c>
      <c r="B343" s="20" t="str">
        <f t="shared" si="205"/>
        <v>INIT</v>
      </c>
      <c r="C343" s="20" t="str">
        <f t="shared" si="206"/>
        <v/>
      </c>
      <c r="D343" s="5"/>
      <c r="E343" s="28" t="s">
        <v>606</v>
      </c>
      <c r="F343" s="36" t="s">
        <v>607</v>
      </c>
      <c r="G343" s="30" t="s">
        <v>234</v>
      </c>
      <c r="H343" s="30" t="s">
        <v>46</v>
      </c>
      <c r="I343" s="30" t="s">
        <v>46</v>
      </c>
      <c r="J343" s="30"/>
      <c r="K343" s="30" t="s">
        <v>47</v>
      </c>
      <c r="L343" s="30"/>
      <c r="M343" s="30"/>
      <c r="N343" s="30"/>
      <c r="O343" s="31"/>
      <c r="P343" s="32"/>
      <c r="Q343" s="5"/>
      <c r="R343" s="10"/>
    </row>
    <row r="344" spans="1:18">
      <c r="A344" s="20" t="str">
        <f t="shared" si="204"/>
        <v>RESP</v>
      </c>
      <c r="B344" s="20" t="str">
        <f t="shared" si="205"/>
        <v>INIT</v>
      </c>
      <c r="C344" s="20" t="str">
        <f t="shared" si="206"/>
        <v/>
      </c>
      <c r="D344" s="5"/>
      <c r="E344" s="28" t="s">
        <v>608</v>
      </c>
      <c r="F344" s="36" t="s">
        <v>609</v>
      </c>
      <c r="G344" s="30" t="s">
        <v>234</v>
      </c>
      <c r="H344" s="30" t="s">
        <v>46</v>
      </c>
      <c r="I344" s="30" t="s">
        <v>46</v>
      </c>
      <c r="J344" s="30"/>
      <c r="K344" s="30" t="s">
        <v>47</v>
      </c>
      <c r="L344" s="30"/>
      <c r="M344" s="30"/>
      <c r="N344" s="30"/>
      <c r="O344" s="31"/>
      <c r="P344" s="32"/>
      <c r="Q344" s="5"/>
      <c r="R344" s="10"/>
    </row>
    <row r="345" spans="1:18" ht="26.45">
      <c r="A345" s="20" t="str">
        <f t="shared" si="204"/>
        <v>RESP</v>
      </c>
      <c r="B345" s="20" t="str">
        <f t="shared" si="205"/>
        <v>INIT</v>
      </c>
      <c r="C345" s="20" t="str">
        <f t="shared" si="206"/>
        <v/>
      </c>
      <c r="D345" s="5"/>
      <c r="E345" s="28" t="s">
        <v>610</v>
      </c>
      <c r="F345" s="36" t="s">
        <v>611</v>
      </c>
      <c r="G345" s="30" t="s">
        <v>234</v>
      </c>
      <c r="H345" s="30" t="s">
        <v>46</v>
      </c>
      <c r="I345" s="30" t="s">
        <v>46</v>
      </c>
      <c r="J345" s="30"/>
      <c r="K345" s="30" t="s">
        <v>47</v>
      </c>
      <c r="L345" s="30"/>
      <c r="M345" s="30"/>
      <c r="N345" s="30"/>
      <c r="O345" s="31"/>
      <c r="P345" s="32"/>
      <c r="Q345" s="5"/>
      <c r="R345" s="10"/>
    </row>
    <row r="346" spans="1:18">
      <c r="A346" s="20" t="str">
        <f t="shared" si="204"/>
        <v>RESP</v>
      </c>
      <c r="B346" s="20" t="str">
        <f t="shared" si="205"/>
        <v>INIT</v>
      </c>
      <c r="C346" s="20" t="str">
        <f t="shared" si="206"/>
        <v/>
      </c>
      <c r="D346" s="5"/>
      <c r="E346" s="28" t="s">
        <v>612</v>
      </c>
      <c r="F346" s="36" t="s">
        <v>613</v>
      </c>
      <c r="G346" s="30" t="s">
        <v>234</v>
      </c>
      <c r="H346" s="30" t="s">
        <v>46</v>
      </c>
      <c r="I346" s="30" t="s">
        <v>46</v>
      </c>
      <c r="J346" s="30"/>
      <c r="K346" s="30" t="s">
        <v>47</v>
      </c>
      <c r="L346" s="30"/>
      <c r="M346" s="30"/>
      <c r="N346" s="30"/>
      <c r="O346" s="31"/>
      <c r="P346" s="32"/>
      <c r="Q346" s="5"/>
      <c r="R346" s="10"/>
    </row>
    <row r="347" spans="1:18">
      <c r="A347" s="20" t="str">
        <f t="shared" si="204"/>
        <v>RESP</v>
      </c>
      <c r="B347" s="20" t="str">
        <f t="shared" si="205"/>
        <v>INIT</v>
      </c>
      <c r="C347" s="20" t="str">
        <f t="shared" si="206"/>
        <v/>
      </c>
      <c r="D347" s="5"/>
      <c r="E347" s="28" t="s">
        <v>614</v>
      </c>
      <c r="F347" s="36" t="s">
        <v>615</v>
      </c>
      <c r="G347" s="30" t="s">
        <v>234</v>
      </c>
      <c r="H347" s="30" t="s">
        <v>46</v>
      </c>
      <c r="I347" s="30" t="s">
        <v>46</v>
      </c>
      <c r="J347" s="30"/>
      <c r="K347" s="30" t="s">
        <v>50</v>
      </c>
      <c r="L347" s="30"/>
      <c r="M347" s="30"/>
      <c r="N347" s="30"/>
      <c r="O347" s="31"/>
      <c r="P347" s="32"/>
      <c r="Q347" s="5"/>
      <c r="R347" s="10"/>
    </row>
    <row r="348" spans="1:18">
      <c r="A348" s="20" t="str">
        <f t="shared" si="204"/>
        <v>RESP</v>
      </c>
      <c r="B348" s="20" t="str">
        <f t="shared" si="205"/>
        <v>INIT</v>
      </c>
      <c r="C348" s="20" t="str">
        <f t="shared" si="206"/>
        <v/>
      </c>
      <c r="D348" s="5"/>
      <c r="E348" s="28" t="s">
        <v>616</v>
      </c>
      <c r="F348" s="36" t="s">
        <v>617</v>
      </c>
      <c r="G348" s="30" t="s">
        <v>234</v>
      </c>
      <c r="H348" s="30" t="s">
        <v>46</v>
      </c>
      <c r="I348" s="30" t="s">
        <v>46</v>
      </c>
      <c r="J348" s="30"/>
      <c r="K348" s="30" t="s">
        <v>50</v>
      </c>
      <c r="L348" s="30"/>
      <c r="M348" s="30"/>
      <c r="N348" s="30"/>
      <c r="O348" s="31"/>
      <c r="P348" s="32"/>
      <c r="Q348" s="5"/>
      <c r="R348" s="10"/>
    </row>
    <row r="349" spans="1:18" ht="156.6">
      <c r="A349" s="20" t="str">
        <f t="shared" si="204"/>
        <v>RESP</v>
      </c>
      <c r="B349" s="20" t="str">
        <f t="shared" si="205"/>
        <v>INIT</v>
      </c>
      <c r="C349" s="20" t="str">
        <f t="shared" si="206"/>
        <v/>
      </c>
      <c r="D349" s="5"/>
      <c r="E349" s="28" t="s">
        <v>618</v>
      </c>
      <c r="F349" s="36" t="s">
        <v>619</v>
      </c>
      <c r="G349" s="30" t="s">
        <v>234</v>
      </c>
      <c r="H349" s="30" t="s">
        <v>46</v>
      </c>
      <c r="I349" s="30" t="s">
        <v>46</v>
      </c>
      <c r="J349" s="30"/>
      <c r="K349" s="30" t="s">
        <v>50</v>
      </c>
      <c r="L349" s="30"/>
      <c r="M349" s="30"/>
      <c r="N349" s="30"/>
      <c r="O349" s="31"/>
      <c r="P349" s="32"/>
      <c r="Q349" s="5"/>
      <c r="R349" s="10"/>
    </row>
    <row r="350" spans="1:18">
      <c r="A350" s="20" t="str">
        <f t="shared" si="204"/>
        <v>RESP</v>
      </c>
      <c r="B350" s="20" t="str">
        <f t="shared" si="205"/>
        <v>INIT</v>
      </c>
      <c r="C350" s="20" t="str">
        <f t="shared" si="206"/>
        <v/>
      </c>
      <c r="D350" s="5"/>
      <c r="E350" s="28" t="s">
        <v>620</v>
      </c>
      <c r="F350" s="36" t="s">
        <v>621</v>
      </c>
      <c r="G350" s="30" t="s">
        <v>234</v>
      </c>
      <c r="H350" s="30" t="s">
        <v>46</v>
      </c>
      <c r="I350" s="30" t="s">
        <v>46</v>
      </c>
      <c r="J350" s="30"/>
      <c r="K350" s="30" t="s">
        <v>50</v>
      </c>
      <c r="L350" s="30"/>
      <c r="M350" s="30"/>
      <c r="N350" s="30"/>
      <c r="O350" s="31"/>
      <c r="P350" s="32"/>
      <c r="Q350" s="5"/>
      <c r="R350" s="10"/>
    </row>
    <row r="351" spans="1:18">
      <c r="A351" s="20" t="str">
        <f t="shared" si="204"/>
        <v>RESP</v>
      </c>
      <c r="B351" s="20" t="str">
        <f t="shared" si="205"/>
        <v>INIT</v>
      </c>
      <c r="C351" s="20" t="str">
        <f t="shared" si="206"/>
        <v/>
      </c>
      <c r="D351" s="5"/>
      <c r="E351" s="28" t="s">
        <v>622</v>
      </c>
      <c r="F351" s="36" t="s">
        <v>623</v>
      </c>
      <c r="G351" s="30" t="s">
        <v>234</v>
      </c>
      <c r="H351" s="30" t="s">
        <v>46</v>
      </c>
      <c r="I351" s="30" t="s">
        <v>46</v>
      </c>
      <c r="J351" s="30"/>
      <c r="K351" s="30" t="s">
        <v>50</v>
      </c>
      <c r="L351" s="30"/>
      <c r="M351" s="30"/>
      <c r="N351" s="30"/>
      <c r="O351" s="31"/>
      <c r="P351" s="32"/>
      <c r="Q351" s="5"/>
      <c r="R351" s="10"/>
    </row>
    <row r="352" spans="1:18">
      <c r="A352" s="20" t="str">
        <f t="shared" si="204"/>
        <v>RESP</v>
      </c>
      <c r="B352" s="20" t="str">
        <f t="shared" si="205"/>
        <v>INIT</v>
      </c>
      <c r="C352" s="20" t="str">
        <f t="shared" si="206"/>
        <v/>
      </c>
      <c r="D352" s="5"/>
      <c r="E352" s="28" t="s">
        <v>624</v>
      </c>
      <c r="F352" s="36" t="s">
        <v>625</v>
      </c>
      <c r="G352" s="30" t="s">
        <v>234</v>
      </c>
      <c r="H352" s="30" t="s">
        <v>46</v>
      </c>
      <c r="I352" s="30" t="s">
        <v>46</v>
      </c>
      <c r="J352" s="30"/>
      <c r="K352" s="30" t="s">
        <v>50</v>
      </c>
      <c r="L352" s="30"/>
      <c r="M352" s="30"/>
      <c r="N352" s="30"/>
      <c r="O352" s="31"/>
      <c r="P352" s="32"/>
      <c r="Q352" s="5"/>
      <c r="R352" s="10"/>
    </row>
    <row r="353" spans="1:18">
      <c r="A353" s="20" t="str">
        <f t="shared" si="204"/>
        <v>RESP</v>
      </c>
      <c r="B353" s="20" t="str">
        <f t="shared" si="205"/>
        <v>INIT</v>
      </c>
      <c r="C353" s="20" t="str">
        <f t="shared" si="206"/>
        <v/>
      </c>
      <c r="D353" s="5"/>
      <c r="E353" s="28" t="s">
        <v>626</v>
      </c>
      <c r="F353" s="36" t="s">
        <v>627</v>
      </c>
      <c r="G353" s="30" t="s">
        <v>234</v>
      </c>
      <c r="H353" s="30" t="s">
        <v>46</v>
      </c>
      <c r="I353" s="30" t="s">
        <v>46</v>
      </c>
      <c r="J353" s="30"/>
      <c r="K353" s="30" t="s">
        <v>50</v>
      </c>
      <c r="L353" s="30"/>
      <c r="M353" s="30"/>
      <c r="N353" s="30"/>
      <c r="O353" s="31"/>
      <c r="P353" s="32"/>
      <c r="Q353" s="5"/>
      <c r="R353" s="10"/>
    </row>
    <row r="354" spans="1:18">
      <c r="A354" s="20" t="str">
        <f t="shared" si="204"/>
        <v>RESP</v>
      </c>
      <c r="B354" s="20" t="str">
        <f t="shared" si="205"/>
        <v>INIT</v>
      </c>
      <c r="C354" s="20" t="str">
        <f t="shared" si="206"/>
        <v/>
      </c>
      <c r="D354" s="5"/>
      <c r="E354" s="28" t="s">
        <v>628</v>
      </c>
      <c r="F354" s="36" t="s">
        <v>629</v>
      </c>
      <c r="G354" s="30" t="s">
        <v>234</v>
      </c>
      <c r="H354" s="30" t="s">
        <v>46</v>
      </c>
      <c r="I354" s="30" t="s">
        <v>46</v>
      </c>
      <c r="J354" s="30"/>
      <c r="K354" s="30" t="s">
        <v>50</v>
      </c>
      <c r="L354" s="30"/>
      <c r="M354" s="30"/>
      <c r="N354" s="30"/>
      <c r="O354" s="31"/>
      <c r="P354" s="32"/>
      <c r="Q354" s="5"/>
      <c r="R354" s="10"/>
    </row>
    <row r="355" spans="1:18">
      <c r="A355" s="20" t="str">
        <f t="shared" si="204"/>
        <v>RESP</v>
      </c>
      <c r="B355" s="20" t="str">
        <f t="shared" si="205"/>
        <v>INIT</v>
      </c>
      <c r="C355" s="20" t="str">
        <f t="shared" si="206"/>
        <v/>
      </c>
      <c r="D355" s="5"/>
      <c r="E355" s="28" t="s">
        <v>630</v>
      </c>
      <c r="F355" s="36" t="s">
        <v>631</v>
      </c>
      <c r="G355" s="30" t="s">
        <v>234</v>
      </c>
      <c r="H355" s="30" t="s">
        <v>46</v>
      </c>
      <c r="I355" s="30" t="s">
        <v>46</v>
      </c>
      <c r="J355" s="30"/>
      <c r="K355" s="30" t="s">
        <v>50</v>
      </c>
      <c r="L355" s="30"/>
      <c r="M355" s="30"/>
      <c r="N355" s="30"/>
      <c r="O355" s="31"/>
      <c r="P355" s="32"/>
      <c r="Q355" s="5"/>
      <c r="R355" s="10"/>
    </row>
    <row r="356" spans="1:18">
      <c r="A356" s="20" t="str">
        <f t="shared" ref="A356:A357" si="210">IF(J356="","RESP","")</f>
        <v>RESP</v>
      </c>
      <c r="B356" s="20" t="str">
        <f t="shared" ref="B356:B357" si="211">IF(M356="","INIT","")</f>
        <v>INIT</v>
      </c>
      <c r="C356" s="20" t="str">
        <f t="shared" ref="C356:C357" si="212">IF(AND(J356="NO",O356=""),"CMTS","")</f>
        <v/>
      </c>
      <c r="D356" s="5"/>
      <c r="E356" s="28" t="s">
        <v>632</v>
      </c>
      <c r="F356" s="36" t="s">
        <v>633</v>
      </c>
      <c r="G356" s="30" t="s">
        <v>234</v>
      </c>
      <c r="H356" s="30" t="s">
        <v>46</v>
      </c>
      <c r="I356" s="30" t="s">
        <v>46</v>
      </c>
      <c r="J356" s="30"/>
      <c r="K356" s="30" t="s">
        <v>50</v>
      </c>
      <c r="L356" s="30"/>
      <c r="M356" s="30"/>
      <c r="N356" s="30"/>
      <c r="O356" s="31"/>
      <c r="P356" s="32"/>
      <c r="Q356" s="5"/>
      <c r="R356" s="10"/>
    </row>
    <row r="357" spans="1:18">
      <c r="A357" s="20" t="str">
        <f t="shared" si="210"/>
        <v>RESP</v>
      </c>
      <c r="B357" s="20" t="str">
        <f t="shared" si="211"/>
        <v>INIT</v>
      </c>
      <c r="C357" s="20" t="str">
        <f t="shared" si="212"/>
        <v/>
      </c>
      <c r="D357" s="5"/>
      <c r="E357" s="28" t="s">
        <v>634</v>
      </c>
      <c r="F357" s="36" t="s">
        <v>635</v>
      </c>
      <c r="G357" s="30" t="s">
        <v>234</v>
      </c>
      <c r="H357" s="30" t="s">
        <v>46</v>
      </c>
      <c r="I357" s="30" t="s">
        <v>46</v>
      </c>
      <c r="J357" s="30"/>
      <c r="K357" s="30" t="s">
        <v>50</v>
      </c>
      <c r="L357" s="30"/>
      <c r="M357" s="30"/>
      <c r="N357" s="30"/>
      <c r="O357" s="31"/>
      <c r="P357" s="32"/>
      <c r="Q357" s="5"/>
      <c r="R357" s="10"/>
    </row>
    <row r="358" spans="1:18">
      <c r="A358" s="20" t="str">
        <f t="shared" ref="A358:A366" si="213">IF(J358="","RESP","")</f>
        <v>RESP</v>
      </c>
      <c r="B358" s="20" t="str">
        <f t="shared" ref="B358:B366" si="214">IF(M358="","INIT","")</f>
        <v>INIT</v>
      </c>
      <c r="C358" s="20" t="str">
        <f t="shared" ref="C358:C366" si="215">IF(AND(J358="NO",O358=""),"CMTS","")</f>
        <v/>
      </c>
      <c r="D358" s="5"/>
      <c r="E358" s="28" t="s">
        <v>636</v>
      </c>
      <c r="F358" s="36" t="s">
        <v>637</v>
      </c>
      <c r="G358" s="30" t="s">
        <v>234</v>
      </c>
      <c r="H358" s="30" t="s">
        <v>46</v>
      </c>
      <c r="I358" s="30" t="s">
        <v>46</v>
      </c>
      <c r="J358" s="30"/>
      <c r="K358" s="30" t="s">
        <v>50</v>
      </c>
      <c r="L358" s="30"/>
      <c r="M358" s="30"/>
      <c r="N358" s="30"/>
      <c r="O358" s="31"/>
      <c r="P358" s="32"/>
      <c r="Q358" s="5"/>
      <c r="R358" s="10"/>
    </row>
    <row r="359" spans="1:18">
      <c r="A359" s="20" t="str">
        <f t="shared" si="213"/>
        <v>RESP</v>
      </c>
      <c r="B359" s="20" t="str">
        <f t="shared" si="214"/>
        <v>INIT</v>
      </c>
      <c r="C359" s="20" t="str">
        <f t="shared" si="215"/>
        <v/>
      </c>
      <c r="D359" s="5"/>
      <c r="E359" s="28" t="s">
        <v>638</v>
      </c>
      <c r="F359" s="36" t="s">
        <v>639</v>
      </c>
      <c r="G359" s="30" t="s">
        <v>234</v>
      </c>
      <c r="H359" s="30" t="s">
        <v>46</v>
      </c>
      <c r="I359" s="30" t="s">
        <v>46</v>
      </c>
      <c r="J359" s="30"/>
      <c r="K359" s="30" t="s">
        <v>50</v>
      </c>
      <c r="L359" s="30"/>
      <c r="M359" s="30"/>
      <c r="N359" s="30"/>
      <c r="O359" s="31"/>
      <c r="P359" s="32"/>
      <c r="Q359" s="5"/>
      <c r="R359" s="10"/>
    </row>
    <row r="360" spans="1:18">
      <c r="A360" s="20" t="str">
        <f>IF(J360="","RESP","")</f>
        <v>RESP</v>
      </c>
      <c r="B360" s="20" t="str">
        <f t="shared" si="214"/>
        <v>INIT</v>
      </c>
      <c r="C360" s="20" t="str">
        <f>IF(AND(J360="NO",O360=""),"CMTS","")</f>
        <v/>
      </c>
      <c r="D360" s="5"/>
      <c r="E360" s="28" t="s">
        <v>640</v>
      </c>
      <c r="F360" s="36" t="s">
        <v>641</v>
      </c>
      <c r="G360" s="30" t="s">
        <v>234</v>
      </c>
      <c r="H360" s="30" t="s">
        <v>46</v>
      </c>
      <c r="I360" s="30" t="s">
        <v>261</v>
      </c>
      <c r="J360" s="30"/>
      <c r="K360" s="30" t="s">
        <v>47</v>
      </c>
      <c r="L360" s="30"/>
      <c r="M360" s="30"/>
      <c r="N360" s="30"/>
      <c r="O360" s="31"/>
      <c r="P360" s="32"/>
      <c r="Q360" s="5"/>
      <c r="R360" s="10"/>
    </row>
    <row r="361" spans="1:18">
      <c r="A361" s="20" t="str">
        <f t="shared" si="213"/>
        <v>RESP</v>
      </c>
      <c r="B361" s="20" t="str">
        <f t="shared" si="214"/>
        <v>INIT</v>
      </c>
      <c r="C361" s="20" t="str">
        <f t="shared" si="215"/>
        <v/>
      </c>
      <c r="D361" s="5"/>
      <c r="E361" s="28" t="s">
        <v>642</v>
      </c>
      <c r="F361" s="36" t="s">
        <v>643</v>
      </c>
      <c r="G361" s="30" t="s">
        <v>234</v>
      </c>
      <c r="H361" s="30" t="s">
        <v>46</v>
      </c>
      <c r="I361" s="30" t="s">
        <v>261</v>
      </c>
      <c r="J361" s="30"/>
      <c r="K361" s="30" t="s">
        <v>47</v>
      </c>
      <c r="L361" s="30"/>
      <c r="M361" s="30"/>
      <c r="N361" s="30"/>
      <c r="O361" s="31"/>
      <c r="P361" s="32"/>
      <c r="Q361" s="5"/>
      <c r="R361" s="10"/>
    </row>
    <row r="362" spans="1:18">
      <c r="A362" s="20" t="str">
        <f t="shared" si="213"/>
        <v>RESP</v>
      </c>
      <c r="B362" s="20" t="str">
        <f t="shared" si="214"/>
        <v>INIT</v>
      </c>
      <c r="C362" s="20" t="str">
        <f t="shared" si="215"/>
        <v/>
      </c>
      <c r="D362" s="5"/>
      <c r="E362" s="28" t="s">
        <v>644</v>
      </c>
      <c r="F362" s="36" t="s">
        <v>260</v>
      </c>
      <c r="G362" s="30" t="s">
        <v>234</v>
      </c>
      <c r="H362" s="30" t="s">
        <v>46</v>
      </c>
      <c r="I362" s="30" t="s">
        <v>261</v>
      </c>
      <c r="J362" s="30"/>
      <c r="K362" s="30" t="s">
        <v>50</v>
      </c>
      <c r="L362" s="30"/>
      <c r="M362" s="30"/>
      <c r="N362" s="30"/>
      <c r="O362" s="31"/>
      <c r="P362" s="32"/>
      <c r="Q362" s="5"/>
      <c r="R362" s="10"/>
    </row>
    <row r="363" spans="1:18">
      <c r="A363" s="20" t="str">
        <f t="shared" si="213"/>
        <v>RESP</v>
      </c>
      <c r="B363" s="20" t="str">
        <f t="shared" si="214"/>
        <v>INIT</v>
      </c>
      <c r="C363" s="20" t="str">
        <f t="shared" si="215"/>
        <v/>
      </c>
      <c r="D363" s="5"/>
      <c r="E363" s="28" t="s">
        <v>645</v>
      </c>
      <c r="F363" s="36" t="s">
        <v>646</v>
      </c>
      <c r="G363" s="30" t="s">
        <v>234</v>
      </c>
      <c r="H363" s="30" t="s">
        <v>46</v>
      </c>
      <c r="I363" s="30" t="s">
        <v>261</v>
      </c>
      <c r="J363" s="30"/>
      <c r="K363" s="30" t="s">
        <v>50</v>
      </c>
      <c r="L363" s="30"/>
      <c r="M363" s="30"/>
      <c r="N363" s="30"/>
      <c r="O363" s="31"/>
      <c r="P363" s="32"/>
      <c r="Q363" s="5"/>
      <c r="R363" s="10"/>
    </row>
    <row r="364" spans="1:18">
      <c r="A364" s="20" t="str">
        <f t="shared" ref="A364" si="216">IF(J364="","RESP","")</f>
        <v>RESP</v>
      </c>
      <c r="B364" s="20" t="str">
        <f t="shared" ref="B364" si="217">IF(M364="","INIT","")</f>
        <v>INIT</v>
      </c>
      <c r="C364" s="20" t="str">
        <f t="shared" ref="C364" si="218">IF(AND(J364="NO",O364=""),"CMTS","")</f>
        <v/>
      </c>
      <c r="D364" s="5"/>
      <c r="E364" s="28" t="s">
        <v>647</v>
      </c>
      <c r="F364" s="36" t="s">
        <v>648</v>
      </c>
      <c r="G364" s="30" t="s">
        <v>234</v>
      </c>
      <c r="H364" s="30" t="s">
        <v>46</v>
      </c>
      <c r="I364" s="30" t="s">
        <v>261</v>
      </c>
      <c r="J364" s="30"/>
      <c r="K364" s="30" t="s">
        <v>47</v>
      </c>
      <c r="L364" s="30"/>
      <c r="M364" s="30"/>
      <c r="N364" s="30"/>
      <c r="O364" s="31"/>
      <c r="P364" s="32"/>
      <c r="Q364" s="5"/>
      <c r="R364" s="10"/>
    </row>
    <row r="365" spans="1:18">
      <c r="A365" s="20" t="str">
        <f t="shared" si="213"/>
        <v>RESP</v>
      </c>
      <c r="B365" s="20" t="str">
        <f t="shared" si="214"/>
        <v>INIT</v>
      </c>
      <c r="C365" s="20" t="str">
        <f t="shared" si="215"/>
        <v/>
      </c>
      <c r="D365" s="5"/>
      <c r="E365" s="28" t="s">
        <v>649</v>
      </c>
      <c r="F365" s="36" t="s">
        <v>650</v>
      </c>
      <c r="G365" s="30" t="s">
        <v>234</v>
      </c>
      <c r="H365" s="30" t="s">
        <v>46</v>
      </c>
      <c r="I365" s="30" t="s">
        <v>46</v>
      </c>
      <c r="J365" s="30"/>
      <c r="K365" s="30" t="s">
        <v>50</v>
      </c>
      <c r="L365" s="30"/>
      <c r="M365" s="30"/>
      <c r="N365" s="30"/>
      <c r="O365" s="31"/>
      <c r="P365" s="32"/>
      <c r="Q365" s="5"/>
      <c r="R365" s="10"/>
    </row>
    <row r="366" spans="1:18">
      <c r="A366" s="20" t="str">
        <f t="shared" si="213"/>
        <v>RESP</v>
      </c>
      <c r="B366" s="20" t="str">
        <f t="shared" si="214"/>
        <v>INIT</v>
      </c>
      <c r="C366" s="20" t="str">
        <f t="shared" si="215"/>
        <v/>
      </c>
      <c r="D366" s="5"/>
      <c r="E366" s="28" t="s">
        <v>651</v>
      </c>
      <c r="F366" s="36" t="s">
        <v>652</v>
      </c>
      <c r="G366" s="30" t="s">
        <v>234</v>
      </c>
      <c r="H366" s="30" t="s">
        <v>46</v>
      </c>
      <c r="I366" s="30" t="s">
        <v>46</v>
      </c>
      <c r="J366" s="30"/>
      <c r="K366" s="30" t="s">
        <v>50</v>
      </c>
      <c r="L366" s="30"/>
      <c r="M366" s="30"/>
      <c r="N366" s="30"/>
      <c r="O366" s="31"/>
      <c r="P366" s="32"/>
      <c r="Q366" s="5"/>
      <c r="R366" s="10"/>
    </row>
    <row r="367" spans="1:18">
      <c r="A367" s="20" t="str">
        <f t="shared" ref="A367:A368" si="219">IF(J367="","RESP","")</f>
        <v>RESP</v>
      </c>
      <c r="B367" s="20" t="str">
        <f t="shared" ref="B367:B368" si="220">IF(M367="","INIT","")</f>
        <v>INIT</v>
      </c>
      <c r="C367" s="20" t="str">
        <f t="shared" ref="C367:C368" si="221">IF(AND(J367="NO",O367=""),"CMTS","")</f>
        <v/>
      </c>
      <c r="D367" s="5"/>
      <c r="E367" s="28" t="s">
        <v>653</v>
      </c>
      <c r="F367" s="36" t="s">
        <v>654</v>
      </c>
      <c r="G367" s="30" t="s">
        <v>234</v>
      </c>
      <c r="H367" s="30" t="s">
        <v>46</v>
      </c>
      <c r="I367" s="30" t="s">
        <v>46</v>
      </c>
      <c r="J367" s="30"/>
      <c r="K367" s="30" t="s">
        <v>50</v>
      </c>
      <c r="L367" s="30"/>
      <c r="M367" s="30"/>
      <c r="N367" s="30"/>
      <c r="O367" s="31"/>
      <c r="P367" s="32"/>
      <c r="Q367" s="5"/>
      <c r="R367" s="10"/>
    </row>
    <row r="368" spans="1:18">
      <c r="A368" s="20" t="str">
        <f t="shared" si="219"/>
        <v>RESP</v>
      </c>
      <c r="B368" s="20" t="str">
        <f t="shared" si="220"/>
        <v>INIT</v>
      </c>
      <c r="C368" s="20" t="str">
        <f t="shared" si="221"/>
        <v/>
      </c>
      <c r="D368" s="5"/>
      <c r="E368" s="28" t="s">
        <v>655</v>
      </c>
      <c r="F368" s="36" t="s">
        <v>656</v>
      </c>
      <c r="G368" s="30" t="s">
        <v>234</v>
      </c>
      <c r="H368" s="30" t="s">
        <v>46</v>
      </c>
      <c r="I368" s="30" t="s">
        <v>46</v>
      </c>
      <c r="J368" s="30"/>
      <c r="K368" s="30" t="s">
        <v>50</v>
      </c>
      <c r="L368" s="30"/>
      <c r="M368" s="30"/>
      <c r="N368" s="30"/>
      <c r="O368" s="31"/>
      <c r="P368" s="32"/>
      <c r="Q368" s="5"/>
      <c r="R368" s="10"/>
    </row>
    <row r="369" spans="1:18">
      <c r="A369" s="20" t="str">
        <f t="shared" ref="A369:A370" si="222">IF(J369="","RESP","")</f>
        <v>RESP</v>
      </c>
      <c r="B369" s="20" t="str">
        <f t="shared" ref="B369:B370" si="223">IF(M369="","INIT","")</f>
        <v>INIT</v>
      </c>
      <c r="C369" s="20" t="str">
        <f t="shared" ref="C369:C370" si="224">IF(AND(J369="NO",O369=""),"CMTS","")</f>
        <v/>
      </c>
      <c r="D369" s="5"/>
      <c r="E369" s="28" t="s">
        <v>657</v>
      </c>
      <c r="F369" s="36" t="s">
        <v>658</v>
      </c>
      <c r="G369" s="30" t="s">
        <v>234</v>
      </c>
      <c r="H369" s="30" t="s">
        <v>46</v>
      </c>
      <c r="I369" s="30" t="s">
        <v>46</v>
      </c>
      <c r="J369" s="30"/>
      <c r="K369" s="30" t="s">
        <v>50</v>
      </c>
      <c r="L369" s="30"/>
      <c r="M369" s="30"/>
      <c r="N369" s="30"/>
      <c r="O369" s="31"/>
      <c r="P369" s="32"/>
      <c r="Q369" s="5"/>
      <c r="R369" s="10"/>
    </row>
    <row r="370" spans="1:18">
      <c r="A370" s="20" t="str">
        <f t="shared" si="222"/>
        <v>RESP</v>
      </c>
      <c r="B370" s="20" t="str">
        <f t="shared" si="223"/>
        <v>INIT</v>
      </c>
      <c r="C370" s="20" t="str">
        <f t="shared" si="224"/>
        <v/>
      </c>
      <c r="D370" s="5"/>
      <c r="E370" s="28" t="s">
        <v>659</v>
      </c>
      <c r="F370" s="36" t="s">
        <v>660</v>
      </c>
      <c r="G370" s="30" t="s">
        <v>234</v>
      </c>
      <c r="H370" s="30" t="s">
        <v>46</v>
      </c>
      <c r="I370" s="30" t="s">
        <v>46</v>
      </c>
      <c r="J370" s="30"/>
      <c r="K370" s="30" t="s">
        <v>50</v>
      </c>
      <c r="L370" s="30"/>
      <c r="M370" s="30"/>
      <c r="N370" s="30"/>
      <c r="O370" s="31"/>
      <c r="P370" s="32"/>
      <c r="Q370" s="5"/>
      <c r="R370" s="10"/>
    </row>
    <row r="371" spans="1:18">
      <c r="A371" s="20" t="str">
        <f t="shared" ref="A371" si="225">IF(J371="","RESP","")</f>
        <v>RESP</v>
      </c>
      <c r="B371" s="20" t="str">
        <f t="shared" ref="B371" si="226">IF(M371="","INIT","")</f>
        <v>INIT</v>
      </c>
      <c r="C371" s="20" t="str">
        <f t="shared" ref="C371" si="227">IF(AND(J371="NO",O371=""),"CMTS","")</f>
        <v/>
      </c>
      <c r="D371" s="5"/>
      <c r="E371" s="28" t="s">
        <v>661</v>
      </c>
      <c r="F371" s="36" t="s">
        <v>662</v>
      </c>
      <c r="G371" s="30" t="s">
        <v>663</v>
      </c>
      <c r="H371" s="30" t="s">
        <v>46</v>
      </c>
      <c r="I371" s="30" t="s">
        <v>46</v>
      </c>
      <c r="J371" s="30"/>
      <c r="K371" s="30" t="s">
        <v>50</v>
      </c>
      <c r="L371" s="30"/>
      <c r="M371" s="30"/>
      <c r="N371" s="30"/>
      <c r="O371" s="31"/>
      <c r="P371" s="32"/>
      <c r="Q371" s="5"/>
      <c r="R371" s="10"/>
    </row>
    <row r="372" spans="1:18">
      <c r="A372" s="20" t="str">
        <f t="shared" ref="A372" si="228">IF(J372="","RESP","")</f>
        <v>RESP</v>
      </c>
      <c r="B372" s="20" t="str">
        <f t="shared" ref="B372" si="229">IF(M372="","INIT","")</f>
        <v>INIT</v>
      </c>
      <c r="C372" s="20" t="str">
        <f t="shared" ref="C372" si="230">IF(AND(J372="NO",O372=""),"CMTS","")</f>
        <v/>
      </c>
      <c r="D372" s="5"/>
      <c r="E372" s="28" t="s">
        <v>664</v>
      </c>
      <c r="F372" s="36" t="s">
        <v>665</v>
      </c>
      <c r="G372" s="30" t="s">
        <v>663</v>
      </c>
      <c r="H372" s="30" t="s">
        <v>46</v>
      </c>
      <c r="I372" s="30" t="s">
        <v>46</v>
      </c>
      <c r="J372" s="30"/>
      <c r="K372" s="30" t="s">
        <v>50</v>
      </c>
      <c r="L372" s="30"/>
      <c r="M372" s="30"/>
      <c r="N372" s="30"/>
      <c r="O372" s="31"/>
      <c r="P372" s="32"/>
      <c r="Q372" s="5"/>
      <c r="R372" s="10"/>
    </row>
    <row r="375" spans="1:18" ht="27.6">
      <c r="A375" s="12" t="s">
        <v>32</v>
      </c>
      <c r="B375" s="13"/>
      <c r="C375" s="13"/>
      <c r="D375" s="2"/>
      <c r="E375" s="22" t="s">
        <v>666</v>
      </c>
      <c r="F375" s="23"/>
      <c r="G375" s="40" t="s">
        <v>34</v>
      </c>
      <c r="H375" s="40" t="s">
        <v>35</v>
      </c>
      <c r="I375" s="40" t="s">
        <v>36</v>
      </c>
      <c r="J375" s="40" t="s">
        <v>37</v>
      </c>
      <c r="K375" s="40" t="s">
        <v>38</v>
      </c>
      <c r="L375" s="40" t="s">
        <v>39</v>
      </c>
      <c r="M375" s="40" t="s">
        <v>40</v>
      </c>
      <c r="N375" s="40" t="s">
        <v>41</v>
      </c>
      <c r="O375" s="40" t="s">
        <v>1</v>
      </c>
      <c r="P375" s="41" t="s">
        <v>104</v>
      </c>
      <c r="Q375" s="2"/>
      <c r="R375" s="9" t="s">
        <v>43</v>
      </c>
    </row>
    <row r="376" spans="1:18" ht="15.6" customHeight="1">
      <c r="A376" s="20" t="str">
        <f t="shared" ref="A376:A380" si="231">IF(J376="","RESP","")</f>
        <v>RESP</v>
      </c>
      <c r="B376" s="20" t="str">
        <f t="shared" ref="B376:B380" si="232">IF(M376="","INIT","")</f>
        <v>INIT</v>
      </c>
      <c r="C376" s="20" t="str">
        <f t="shared" ref="C376:C380" si="233">IF(AND(J376="NO",O376=""),"CMTS","")</f>
        <v/>
      </c>
      <c r="D376" s="5"/>
      <c r="E376" s="28" t="s">
        <v>667</v>
      </c>
      <c r="F376" s="33" t="s">
        <v>175</v>
      </c>
      <c r="G376" s="30" t="s">
        <v>234</v>
      </c>
      <c r="H376" s="30" t="s">
        <v>46</v>
      </c>
      <c r="I376" s="30" t="s">
        <v>46</v>
      </c>
      <c r="J376" s="30"/>
      <c r="K376" s="30" t="s">
        <v>47</v>
      </c>
      <c r="L376" s="30"/>
      <c r="M376" s="30"/>
      <c r="N376" s="30"/>
      <c r="O376" s="31"/>
      <c r="P376" s="32"/>
      <c r="Q376" s="5"/>
      <c r="R376" s="10" t="s">
        <v>122</v>
      </c>
    </row>
    <row r="377" spans="1:18" ht="18.95" customHeight="1">
      <c r="A377" s="20" t="str">
        <f t="shared" si="231"/>
        <v>RESP</v>
      </c>
      <c r="B377" s="20" t="str">
        <f t="shared" si="232"/>
        <v>INIT</v>
      </c>
      <c r="C377" s="20" t="str">
        <f t="shared" si="233"/>
        <v/>
      </c>
      <c r="D377" s="5"/>
      <c r="E377" s="28" t="s">
        <v>668</v>
      </c>
      <c r="F377" s="33" t="s">
        <v>177</v>
      </c>
      <c r="G377" s="30" t="s">
        <v>234</v>
      </c>
      <c r="H377" s="30" t="s">
        <v>46</v>
      </c>
      <c r="I377" s="30" t="s">
        <v>46</v>
      </c>
      <c r="J377" s="30"/>
      <c r="K377" s="30" t="s">
        <v>50</v>
      </c>
      <c r="L377" s="30"/>
      <c r="M377" s="30"/>
      <c r="N377" s="30"/>
      <c r="O377" s="31"/>
      <c r="P377" s="32"/>
      <c r="Q377" s="5"/>
      <c r="R377" s="10" t="s">
        <v>122</v>
      </c>
    </row>
    <row r="378" spans="1:18">
      <c r="A378" s="20" t="str">
        <f t="shared" si="231"/>
        <v>RESP</v>
      </c>
      <c r="B378" s="20" t="str">
        <f t="shared" si="232"/>
        <v>INIT</v>
      </c>
      <c r="C378" s="20" t="str">
        <f t="shared" si="233"/>
        <v/>
      </c>
      <c r="D378" s="5"/>
      <c r="E378" s="28" t="s">
        <v>669</v>
      </c>
      <c r="F378" s="33" t="s">
        <v>179</v>
      </c>
      <c r="G378" s="30" t="s">
        <v>234</v>
      </c>
      <c r="H378" s="30" t="s">
        <v>46</v>
      </c>
      <c r="I378" s="30" t="s">
        <v>46</v>
      </c>
      <c r="J378" s="30"/>
      <c r="K378" s="30" t="s">
        <v>50</v>
      </c>
      <c r="L378" s="30"/>
      <c r="M378" s="30"/>
      <c r="N378" s="30"/>
      <c r="O378" s="31"/>
      <c r="P378" s="32"/>
      <c r="Q378" s="5"/>
      <c r="R378" s="10"/>
    </row>
    <row r="379" spans="1:18" ht="26.45">
      <c r="A379" s="20" t="str">
        <f t="shared" si="231"/>
        <v>RESP</v>
      </c>
      <c r="B379" s="20" t="str">
        <f t="shared" si="232"/>
        <v>INIT</v>
      </c>
      <c r="C379" s="20" t="str">
        <f t="shared" si="233"/>
        <v/>
      </c>
      <c r="D379" s="5"/>
      <c r="E379" s="28" t="s">
        <v>670</v>
      </c>
      <c r="F379" s="33" t="s">
        <v>181</v>
      </c>
      <c r="G379" s="30" t="s">
        <v>234</v>
      </c>
      <c r="H379" s="30" t="s">
        <v>46</v>
      </c>
      <c r="I379" s="30" t="s">
        <v>46</v>
      </c>
      <c r="J379" s="30"/>
      <c r="K379" s="30" t="s">
        <v>47</v>
      </c>
      <c r="L379" s="30"/>
      <c r="M379" s="30"/>
      <c r="N379" s="30"/>
      <c r="O379" s="31"/>
      <c r="P379" s="32"/>
      <c r="Q379" s="5"/>
      <c r="R379" s="10"/>
    </row>
    <row r="380" spans="1:18">
      <c r="A380" s="20" t="str">
        <f t="shared" si="231"/>
        <v>RESP</v>
      </c>
      <c r="B380" s="20" t="str">
        <f t="shared" si="232"/>
        <v>INIT</v>
      </c>
      <c r="C380" s="20" t="str">
        <f t="shared" si="233"/>
        <v/>
      </c>
      <c r="D380" s="5"/>
      <c r="E380" s="28" t="s">
        <v>671</v>
      </c>
      <c r="F380" s="33" t="s">
        <v>183</v>
      </c>
      <c r="G380" s="30" t="s">
        <v>234</v>
      </c>
      <c r="H380" s="30" t="s">
        <v>46</v>
      </c>
      <c r="I380" s="30" t="s">
        <v>46</v>
      </c>
      <c r="J380" s="30"/>
      <c r="K380" s="30" t="s">
        <v>50</v>
      </c>
      <c r="L380" s="30"/>
      <c r="M380" s="30"/>
      <c r="N380" s="30"/>
      <c r="O380" s="31"/>
      <c r="P380" s="32"/>
      <c r="Q380" s="5"/>
      <c r="R380" s="10"/>
    </row>
    <row r="381" spans="1:18">
      <c r="A381" s="20" t="str">
        <f t="shared" ref="A381:A382" si="234">IF(J381="","RESP","")</f>
        <v>RESP</v>
      </c>
      <c r="B381" s="20" t="str">
        <f t="shared" ref="B381:B382" si="235">IF(M381="","INIT","")</f>
        <v>INIT</v>
      </c>
      <c r="C381" s="20" t="str">
        <f t="shared" ref="C381:C382" si="236">IF(AND(J381="NO",O381=""),"CMTS","")</f>
        <v/>
      </c>
      <c r="D381" s="5"/>
      <c r="E381" s="28" t="s">
        <v>672</v>
      </c>
      <c r="F381" s="33" t="s">
        <v>185</v>
      </c>
      <c r="G381" s="30" t="s">
        <v>234</v>
      </c>
      <c r="H381" s="30" t="s">
        <v>46</v>
      </c>
      <c r="I381" s="30" t="s">
        <v>46</v>
      </c>
      <c r="J381" s="30"/>
      <c r="K381" s="30" t="s">
        <v>50</v>
      </c>
      <c r="L381" s="30"/>
      <c r="M381" s="30"/>
      <c r="N381" s="30"/>
      <c r="O381" s="31"/>
      <c r="P381" s="32"/>
      <c r="Q381" s="5"/>
      <c r="R381" s="10"/>
    </row>
    <row r="382" spans="1:18" ht="18.95" customHeight="1">
      <c r="A382" s="20" t="str">
        <f t="shared" si="234"/>
        <v>RESP</v>
      </c>
      <c r="B382" s="20" t="str">
        <f t="shared" si="235"/>
        <v>INIT</v>
      </c>
      <c r="C382" s="20" t="str">
        <f t="shared" si="236"/>
        <v/>
      </c>
      <c r="D382" s="5"/>
      <c r="E382" s="28" t="s">
        <v>673</v>
      </c>
      <c r="F382" s="33" t="s">
        <v>187</v>
      </c>
      <c r="G382" s="30" t="s">
        <v>234</v>
      </c>
      <c r="H382" s="30" t="s">
        <v>46</v>
      </c>
      <c r="I382" s="30" t="s">
        <v>46</v>
      </c>
      <c r="J382" s="30"/>
      <c r="K382" s="30" t="s">
        <v>50</v>
      </c>
      <c r="L382" s="30"/>
      <c r="M382" s="30"/>
      <c r="N382" s="30"/>
      <c r="O382" s="31"/>
      <c r="P382" s="32"/>
      <c r="Q382" s="5"/>
      <c r="R382" s="10" t="s">
        <v>122</v>
      </c>
    </row>
    <row r="383" spans="1:18">
      <c r="A383" s="20" t="e">
        <f>IF(#REF!="","RESP","")</f>
        <v>#REF!</v>
      </c>
      <c r="B383" s="20" t="e">
        <f>IF(#REF!="","INIT","")</f>
        <v>#REF!</v>
      </c>
      <c r="C383" s="20" t="e">
        <f>IF(AND(#REF!="NO",#REF!=""),"CMTS","")</f>
        <v>#REF!</v>
      </c>
      <c r="D383" s="5"/>
      <c r="E383" s="28" t="s">
        <v>674</v>
      </c>
      <c r="F383" s="59" t="s">
        <v>189</v>
      </c>
      <c r="G383" s="30" t="s">
        <v>234</v>
      </c>
      <c r="H383" s="30" t="s">
        <v>46</v>
      </c>
      <c r="I383" s="30" t="s">
        <v>46</v>
      </c>
      <c r="J383" s="30"/>
      <c r="K383" s="30" t="s">
        <v>50</v>
      </c>
      <c r="L383" s="30"/>
      <c r="M383" s="30"/>
      <c r="N383" s="30"/>
      <c r="O383" s="31"/>
      <c r="P383" s="32"/>
      <c r="Q383" s="5"/>
      <c r="R383" s="10"/>
    </row>
    <row r="384" spans="1:18">
      <c r="A384" s="4"/>
      <c r="B384" s="4"/>
      <c r="C384" s="4"/>
      <c r="D384" s="5"/>
      <c r="E384" s="58"/>
    </row>
    <row r="386" spans="1:18" ht="27.6">
      <c r="A386" s="12" t="s">
        <v>32</v>
      </c>
      <c r="B386" s="13"/>
      <c r="C386" s="13"/>
      <c r="D386" s="2"/>
      <c r="E386" s="22" t="s">
        <v>675</v>
      </c>
      <c r="F386" s="23"/>
      <c r="G386" s="40" t="s">
        <v>34</v>
      </c>
      <c r="H386" s="40" t="s">
        <v>35</v>
      </c>
      <c r="I386" s="40" t="s">
        <v>36</v>
      </c>
      <c r="J386" s="40" t="s">
        <v>37</v>
      </c>
      <c r="K386" s="40" t="s">
        <v>38</v>
      </c>
      <c r="L386" s="40" t="s">
        <v>39</v>
      </c>
      <c r="M386" s="40" t="s">
        <v>40</v>
      </c>
      <c r="N386" s="40" t="s">
        <v>41</v>
      </c>
      <c r="O386" s="40" t="s">
        <v>1</v>
      </c>
      <c r="P386" s="41" t="s">
        <v>104</v>
      </c>
      <c r="Q386" s="2"/>
      <c r="R386" s="9" t="s">
        <v>43</v>
      </c>
    </row>
    <row r="387" spans="1:18">
      <c r="A387" s="20" t="str">
        <f t="shared" ref="A387:A393" si="237">IF(J387="","RESP","")</f>
        <v>RESP</v>
      </c>
      <c r="B387" s="20" t="str">
        <f t="shared" ref="B387:B393" si="238">IF(M387="","INIT","")</f>
        <v>INIT</v>
      </c>
      <c r="C387" s="20" t="str">
        <f t="shared" ref="C387:C393" si="239">IF(AND(J387="NO",O387=""),"CMTS","")</f>
        <v/>
      </c>
      <c r="D387" s="5"/>
      <c r="E387" s="28" t="s">
        <v>676</v>
      </c>
      <c r="F387" s="36" t="s">
        <v>677</v>
      </c>
      <c r="G387" s="30" t="s">
        <v>234</v>
      </c>
      <c r="H387" s="30" t="s">
        <v>46</v>
      </c>
      <c r="I387" s="30" t="s">
        <v>46</v>
      </c>
      <c r="J387" s="30"/>
      <c r="K387" s="30" t="s">
        <v>47</v>
      </c>
      <c r="L387" s="30"/>
      <c r="M387" s="30"/>
      <c r="N387" s="30"/>
      <c r="O387" s="31"/>
      <c r="P387" s="32"/>
      <c r="Q387" s="5"/>
      <c r="R387" s="10"/>
    </row>
    <row r="388" spans="1:18">
      <c r="A388" s="20" t="str">
        <f t="shared" si="237"/>
        <v>RESP</v>
      </c>
      <c r="B388" s="20" t="str">
        <f t="shared" si="238"/>
        <v>INIT</v>
      </c>
      <c r="C388" s="20" t="str">
        <f t="shared" si="239"/>
        <v/>
      </c>
      <c r="D388" s="5"/>
      <c r="E388" s="28" t="s">
        <v>678</v>
      </c>
      <c r="F388" s="36" t="s">
        <v>679</v>
      </c>
      <c r="G388" s="30" t="s">
        <v>234</v>
      </c>
      <c r="H388" s="30" t="s">
        <v>46</v>
      </c>
      <c r="I388" s="30" t="s">
        <v>46</v>
      </c>
      <c r="J388" s="30"/>
      <c r="K388" s="30" t="s">
        <v>47</v>
      </c>
      <c r="L388" s="30"/>
      <c r="M388" s="30"/>
      <c r="N388" s="30"/>
      <c r="O388" s="31"/>
      <c r="P388" s="32"/>
      <c r="Q388" s="5"/>
      <c r="R388" s="10"/>
    </row>
    <row r="389" spans="1:18">
      <c r="A389" s="20" t="str">
        <f t="shared" si="237"/>
        <v>RESP</v>
      </c>
      <c r="B389" s="20" t="str">
        <f t="shared" si="238"/>
        <v>INIT</v>
      </c>
      <c r="C389" s="20" t="str">
        <f t="shared" si="239"/>
        <v/>
      </c>
      <c r="D389" s="5"/>
      <c r="E389" s="28" t="s">
        <v>680</v>
      </c>
      <c r="F389" s="36" t="s">
        <v>681</v>
      </c>
      <c r="G389" s="30" t="s">
        <v>234</v>
      </c>
      <c r="H389" s="30" t="s">
        <v>46</v>
      </c>
      <c r="I389" s="30" t="s">
        <v>46</v>
      </c>
      <c r="J389" s="30"/>
      <c r="K389" s="30" t="s">
        <v>50</v>
      </c>
      <c r="L389" s="30"/>
      <c r="M389" s="30"/>
      <c r="N389" s="30"/>
      <c r="O389" s="31"/>
      <c r="P389" s="32"/>
      <c r="Q389" s="5"/>
      <c r="R389" s="10"/>
    </row>
    <row r="390" spans="1:18">
      <c r="A390" s="20" t="str">
        <f t="shared" si="237"/>
        <v>RESP</v>
      </c>
      <c r="B390" s="20" t="str">
        <f t="shared" si="238"/>
        <v>INIT</v>
      </c>
      <c r="C390" s="20" t="str">
        <f t="shared" si="239"/>
        <v/>
      </c>
      <c r="D390" s="5"/>
      <c r="E390" s="28" t="s">
        <v>682</v>
      </c>
      <c r="F390" s="36" t="s">
        <v>683</v>
      </c>
      <c r="G390" s="30" t="s">
        <v>234</v>
      </c>
      <c r="H390" s="30" t="s">
        <v>46</v>
      </c>
      <c r="I390" s="30" t="s">
        <v>46</v>
      </c>
      <c r="J390" s="30"/>
      <c r="K390" s="30" t="s">
        <v>50</v>
      </c>
      <c r="L390" s="30"/>
      <c r="M390" s="30"/>
      <c r="N390" s="30"/>
      <c r="O390" s="31"/>
      <c r="P390" s="32"/>
      <c r="Q390" s="5"/>
      <c r="R390" s="10"/>
    </row>
    <row r="391" spans="1:18">
      <c r="A391" s="20" t="str">
        <f t="shared" si="237"/>
        <v>RESP</v>
      </c>
      <c r="B391" s="20" t="str">
        <f t="shared" si="238"/>
        <v>INIT</v>
      </c>
      <c r="C391" s="20" t="str">
        <f t="shared" si="239"/>
        <v/>
      </c>
      <c r="D391" s="5"/>
      <c r="E391" s="28" t="s">
        <v>684</v>
      </c>
      <c r="F391" s="36" t="s">
        <v>685</v>
      </c>
      <c r="G391" s="30" t="s">
        <v>234</v>
      </c>
      <c r="H391" s="30" t="s">
        <v>46</v>
      </c>
      <c r="I391" s="30" t="s">
        <v>46</v>
      </c>
      <c r="J391" s="30"/>
      <c r="K391" s="30" t="s">
        <v>50</v>
      </c>
      <c r="L391" s="30"/>
      <c r="M391" s="30"/>
      <c r="N391" s="30"/>
      <c r="O391" s="31"/>
      <c r="P391" s="32"/>
      <c r="Q391" s="5"/>
      <c r="R391" s="10"/>
    </row>
    <row r="392" spans="1:18">
      <c r="A392" s="20" t="str">
        <f t="shared" si="237"/>
        <v>RESP</v>
      </c>
      <c r="B392" s="20" t="str">
        <f t="shared" si="238"/>
        <v>INIT</v>
      </c>
      <c r="C392" s="20" t="str">
        <f t="shared" si="239"/>
        <v/>
      </c>
      <c r="D392" s="5"/>
      <c r="E392" s="28" t="s">
        <v>686</v>
      </c>
      <c r="F392" s="36" t="s">
        <v>687</v>
      </c>
      <c r="G392" s="30" t="s">
        <v>234</v>
      </c>
      <c r="H392" s="30" t="s">
        <v>46</v>
      </c>
      <c r="I392" s="30" t="s">
        <v>46</v>
      </c>
      <c r="J392" s="30"/>
      <c r="K392" s="30" t="s">
        <v>50</v>
      </c>
      <c r="L392" s="30"/>
      <c r="M392" s="30"/>
      <c r="N392" s="30"/>
      <c r="O392" s="31"/>
      <c r="P392" s="32"/>
      <c r="Q392" s="5"/>
      <c r="R392" s="10"/>
    </row>
    <row r="393" spans="1:18">
      <c r="A393" s="20" t="str">
        <f t="shared" si="237"/>
        <v>RESP</v>
      </c>
      <c r="B393" s="20" t="str">
        <f t="shared" si="238"/>
        <v>INIT</v>
      </c>
      <c r="C393" s="20" t="str">
        <f t="shared" si="239"/>
        <v/>
      </c>
      <c r="D393" s="5"/>
      <c r="E393" s="28" t="s">
        <v>688</v>
      </c>
      <c r="F393" s="36" t="s">
        <v>689</v>
      </c>
      <c r="G393" s="30" t="s">
        <v>234</v>
      </c>
      <c r="H393" s="30" t="s">
        <v>46</v>
      </c>
      <c r="I393" s="30" t="s">
        <v>46</v>
      </c>
      <c r="J393" s="30"/>
      <c r="K393" s="30" t="s">
        <v>47</v>
      </c>
      <c r="L393" s="30"/>
      <c r="M393" s="30"/>
      <c r="N393" s="30"/>
      <c r="O393" s="31"/>
      <c r="P393" s="32"/>
      <c r="Q393" s="5"/>
      <c r="R393" s="10"/>
    </row>
    <row r="396" spans="1:18" ht="27.6">
      <c r="A396" s="12" t="s">
        <v>32</v>
      </c>
      <c r="B396" s="13"/>
      <c r="C396" s="13"/>
      <c r="D396" s="2"/>
      <c r="E396" s="22" t="s">
        <v>690</v>
      </c>
      <c r="F396" s="23"/>
      <c r="G396" s="40" t="s">
        <v>34</v>
      </c>
      <c r="H396" s="40" t="s">
        <v>35</v>
      </c>
      <c r="I396" s="40" t="s">
        <v>36</v>
      </c>
      <c r="J396" s="40" t="s">
        <v>37</v>
      </c>
      <c r="K396" s="40" t="s">
        <v>38</v>
      </c>
      <c r="L396" s="40" t="s">
        <v>39</v>
      </c>
      <c r="M396" s="40" t="s">
        <v>40</v>
      </c>
      <c r="N396" s="40" t="s">
        <v>41</v>
      </c>
      <c r="O396" s="40" t="s">
        <v>1</v>
      </c>
      <c r="P396" s="41" t="s">
        <v>104</v>
      </c>
      <c r="Q396" s="2"/>
      <c r="R396" s="9" t="s">
        <v>43</v>
      </c>
    </row>
    <row r="397" spans="1:18">
      <c r="A397" s="20" t="str">
        <f t="shared" ref="A397:A402" si="240">IF(J397="","RESP","")</f>
        <v>RESP</v>
      </c>
      <c r="B397" s="20" t="str">
        <f t="shared" ref="B397:B402" si="241">IF(M397="","INIT","")</f>
        <v>INIT</v>
      </c>
      <c r="C397" s="20" t="str">
        <f t="shared" ref="C397:C402" si="242">IF(AND(J397="NO",O397=""),"CMTS","")</f>
        <v/>
      </c>
      <c r="D397" s="5"/>
      <c r="E397" s="28" t="s">
        <v>691</v>
      </c>
      <c r="F397" s="36" t="s">
        <v>692</v>
      </c>
      <c r="G397" s="30" t="s">
        <v>663</v>
      </c>
      <c r="H397" s="30" t="s">
        <v>46</v>
      </c>
      <c r="I397" s="30" t="s">
        <v>46</v>
      </c>
      <c r="J397" s="30"/>
      <c r="K397" s="30" t="s">
        <v>47</v>
      </c>
      <c r="L397" s="30"/>
      <c r="M397" s="30"/>
      <c r="N397" s="30"/>
      <c r="O397" s="31"/>
      <c r="P397" s="32"/>
      <c r="Q397" s="5"/>
      <c r="R397" s="10"/>
    </row>
    <row r="398" spans="1:18">
      <c r="A398" s="20" t="str">
        <f t="shared" si="240"/>
        <v>RESP</v>
      </c>
      <c r="B398" s="20" t="str">
        <f t="shared" si="241"/>
        <v>INIT</v>
      </c>
      <c r="C398" s="20" t="str">
        <f t="shared" si="242"/>
        <v/>
      </c>
      <c r="D398" s="5"/>
      <c r="E398" s="28" t="s">
        <v>693</v>
      </c>
      <c r="F398" s="36" t="s">
        <v>694</v>
      </c>
      <c r="G398" s="30" t="s">
        <v>663</v>
      </c>
      <c r="H398" s="30" t="s">
        <v>46</v>
      </c>
      <c r="I398" s="30" t="s">
        <v>46</v>
      </c>
      <c r="J398" s="30"/>
      <c r="K398" s="30" t="s">
        <v>47</v>
      </c>
      <c r="L398" s="30"/>
      <c r="M398" s="30"/>
      <c r="N398" s="30"/>
      <c r="O398" s="31"/>
      <c r="P398" s="32"/>
      <c r="Q398" s="5"/>
      <c r="R398" s="10"/>
    </row>
    <row r="399" spans="1:18">
      <c r="A399" s="20" t="str">
        <f t="shared" si="240"/>
        <v>RESP</v>
      </c>
      <c r="B399" s="20" t="str">
        <f t="shared" si="241"/>
        <v>INIT</v>
      </c>
      <c r="C399" s="20" t="str">
        <f t="shared" si="242"/>
        <v/>
      </c>
      <c r="D399" s="5"/>
      <c r="E399" s="28" t="s">
        <v>695</v>
      </c>
      <c r="F399" s="36" t="s">
        <v>696</v>
      </c>
      <c r="G399" s="30" t="s">
        <v>663</v>
      </c>
      <c r="H399" s="30" t="s">
        <v>46</v>
      </c>
      <c r="I399" s="30" t="s">
        <v>46</v>
      </c>
      <c r="J399" s="30"/>
      <c r="K399" s="30" t="s">
        <v>47</v>
      </c>
      <c r="L399" s="30"/>
      <c r="M399" s="30"/>
      <c r="N399" s="30"/>
      <c r="O399" s="31"/>
      <c r="P399" s="32"/>
      <c r="Q399" s="5"/>
      <c r="R399" s="10"/>
    </row>
    <row r="400" spans="1:18">
      <c r="A400" s="20" t="str">
        <f t="shared" si="240"/>
        <v>RESP</v>
      </c>
      <c r="B400" s="20" t="str">
        <f t="shared" si="241"/>
        <v>INIT</v>
      </c>
      <c r="C400" s="20" t="str">
        <f t="shared" si="242"/>
        <v/>
      </c>
      <c r="D400" s="5"/>
      <c r="E400" s="28" t="s">
        <v>697</v>
      </c>
      <c r="F400" s="36" t="s">
        <v>698</v>
      </c>
      <c r="G400" s="30" t="s">
        <v>663</v>
      </c>
      <c r="H400" s="30" t="s">
        <v>46</v>
      </c>
      <c r="I400" s="30" t="s">
        <v>46</v>
      </c>
      <c r="J400" s="30"/>
      <c r="K400" s="30" t="s">
        <v>47</v>
      </c>
      <c r="L400" s="30"/>
      <c r="M400" s="30"/>
      <c r="N400" s="30"/>
      <c r="O400" s="31"/>
      <c r="P400" s="32"/>
      <c r="Q400" s="5"/>
      <c r="R400" s="10"/>
    </row>
    <row r="401" spans="1:18">
      <c r="A401" s="20" t="str">
        <f t="shared" si="240"/>
        <v>RESP</v>
      </c>
      <c r="B401" s="20" t="str">
        <f t="shared" si="241"/>
        <v>INIT</v>
      </c>
      <c r="C401" s="20" t="str">
        <f t="shared" si="242"/>
        <v/>
      </c>
      <c r="D401" s="5"/>
      <c r="E401" s="28" t="s">
        <v>699</v>
      </c>
      <c r="F401" s="36" t="s">
        <v>700</v>
      </c>
      <c r="G401" s="30" t="s">
        <v>663</v>
      </c>
      <c r="H401" s="30" t="s">
        <v>46</v>
      </c>
      <c r="I401" s="30" t="s">
        <v>46</v>
      </c>
      <c r="J401" s="30"/>
      <c r="K401" s="30" t="s">
        <v>47</v>
      </c>
      <c r="L401" s="30"/>
      <c r="M401" s="30"/>
      <c r="N401" s="30"/>
      <c r="O401" s="31"/>
      <c r="P401" s="32"/>
      <c r="Q401" s="5"/>
      <c r="R401" s="10"/>
    </row>
    <row r="402" spans="1:18" ht="39.6">
      <c r="A402" s="20" t="str">
        <f t="shared" si="240"/>
        <v>RESP</v>
      </c>
      <c r="B402" s="20" t="str">
        <f t="shared" si="241"/>
        <v>INIT</v>
      </c>
      <c r="C402" s="20" t="str">
        <f t="shared" si="242"/>
        <v/>
      </c>
      <c r="D402" s="5"/>
      <c r="E402" s="28" t="s">
        <v>701</v>
      </c>
      <c r="F402" s="36" t="s">
        <v>702</v>
      </c>
      <c r="G402" s="30" t="s">
        <v>663</v>
      </c>
      <c r="H402" s="30" t="s">
        <v>46</v>
      </c>
      <c r="I402" s="30" t="s">
        <v>46</v>
      </c>
      <c r="J402" s="30"/>
      <c r="K402" s="30" t="s">
        <v>47</v>
      </c>
      <c r="L402" s="30"/>
      <c r="M402" s="30"/>
      <c r="N402" s="30"/>
      <c r="O402" s="31"/>
      <c r="P402" s="32"/>
      <c r="Q402" s="5"/>
      <c r="R402" s="10"/>
    </row>
    <row r="405" spans="1:18" ht="27.6">
      <c r="A405" s="12" t="s">
        <v>32</v>
      </c>
      <c r="B405" s="13"/>
      <c r="C405" s="13"/>
      <c r="D405" s="2"/>
      <c r="E405" s="22" t="s">
        <v>703</v>
      </c>
      <c r="F405" s="23"/>
      <c r="G405" s="40" t="s">
        <v>34</v>
      </c>
      <c r="H405" s="40" t="s">
        <v>35</v>
      </c>
      <c r="I405" s="40" t="s">
        <v>36</v>
      </c>
      <c r="J405" s="40" t="s">
        <v>37</v>
      </c>
      <c r="K405" s="40" t="s">
        <v>38</v>
      </c>
      <c r="L405" s="40" t="s">
        <v>39</v>
      </c>
      <c r="M405" s="40" t="s">
        <v>40</v>
      </c>
      <c r="N405" s="40" t="s">
        <v>41</v>
      </c>
      <c r="O405" s="40" t="s">
        <v>1</v>
      </c>
      <c r="P405" s="41" t="s">
        <v>104</v>
      </c>
      <c r="Q405" s="2"/>
      <c r="R405" s="9" t="s">
        <v>43</v>
      </c>
    </row>
    <row r="406" spans="1:18">
      <c r="A406" s="20" t="str">
        <f t="shared" ref="A406:A411" si="243">IF(J406="","RESP","")</f>
        <v>RESP</v>
      </c>
      <c r="B406" s="20" t="str">
        <f t="shared" ref="B406:B411" si="244">IF(M406="","INIT","")</f>
        <v>INIT</v>
      </c>
      <c r="C406" s="20" t="str">
        <f t="shared" ref="C406:C411" si="245">IF(AND(J406="NO",O406=""),"CMTS","")</f>
        <v/>
      </c>
      <c r="D406" s="5"/>
      <c r="E406" s="28" t="s">
        <v>704</v>
      </c>
      <c r="F406" s="36" t="s">
        <v>705</v>
      </c>
      <c r="G406" s="30" t="s">
        <v>663</v>
      </c>
      <c r="H406" s="30" t="s">
        <v>46</v>
      </c>
      <c r="I406" s="30" t="s">
        <v>46</v>
      </c>
      <c r="J406" s="30"/>
      <c r="K406" s="30" t="s">
        <v>50</v>
      </c>
      <c r="L406" s="30"/>
      <c r="M406" s="30"/>
      <c r="N406" s="30"/>
      <c r="O406" s="31"/>
      <c r="P406" s="32"/>
      <c r="Q406" s="5"/>
      <c r="R406" s="10"/>
    </row>
    <row r="407" spans="1:18">
      <c r="A407" s="20" t="str">
        <f t="shared" si="243"/>
        <v>RESP</v>
      </c>
      <c r="B407" s="20" t="str">
        <f t="shared" si="244"/>
        <v>INIT</v>
      </c>
      <c r="C407" s="20" t="str">
        <f t="shared" si="245"/>
        <v/>
      </c>
      <c r="D407" s="5"/>
      <c r="E407" s="28" t="s">
        <v>706</v>
      </c>
      <c r="F407" s="36" t="s">
        <v>707</v>
      </c>
      <c r="G407" s="30" t="s">
        <v>663</v>
      </c>
      <c r="H407" s="30" t="s">
        <v>46</v>
      </c>
      <c r="I407" s="30" t="s">
        <v>46</v>
      </c>
      <c r="J407" s="30"/>
      <c r="K407" s="30" t="s">
        <v>50</v>
      </c>
      <c r="L407" s="30"/>
      <c r="M407" s="30"/>
      <c r="N407" s="30"/>
      <c r="O407" s="31"/>
      <c r="P407" s="32"/>
      <c r="Q407" s="5"/>
      <c r="R407" s="10"/>
    </row>
    <row r="408" spans="1:18" ht="26.45">
      <c r="A408" s="20" t="str">
        <f t="shared" si="243"/>
        <v>RESP</v>
      </c>
      <c r="B408" s="20" t="str">
        <f t="shared" si="244"/>
        <v>INIT</v>
      </c>
      <c r="C408" s="20" t="str">
        <f t="shared" si="245"/>
        <v/>
      </c>
      <c r="D408" s="5"/>
      <c r="E408" s="28" t="s">
        <v>708</v>
      </c>
      <c r="F408" s="36" t="s">
        <v>709</v>
      </c>
      <c r="G408" s="30" t="s">
        <v>663</v>
      </c>
      <c r="H408" s="30" t="s">
        <v>46</v>
      </c>
      <c r="I408" s="30" t="s">
        <v>46</v>
      </c>
      <c r="J408" s="30"/>
      <c r="K408" s="30" t="s">
        <v>50</v>
      </c>
      <c r="L408" s="30"/>
      <c r="M408" s="30"/>
      <c r="N408" s="30"/>
      <c r="O408" s="31"/>
      <c r="P408" s="32"/>
      <c r="Q408" s="5"/>
      <c r="R408" s="10"/>
    </row>
    <row r="409" spans="1:18">
      <c r="A409" s="20" t="str">
        <f t="shared" si="243"/>
        <v>RESP</v>
      </c>
      <c r="B409" s="20" t="str">
        <f t="shared" si="244"/>
        <v>INIT</v>
      </c>
      <c r="C409" s="20" t="str">
        <f t="shared" si="245"/>
        <v/>
      </c>
      <c r="D409" s="5"/>
      <c r="E409" s="28" t="s">
        <v>710</v>
      </c>
      <c r="F409" s="36" t="s">
        <v>711</v>
      </c>
      <c r="G409" s="30" t="s">
        <v>663</v>
      </c>
      <c r="H409" s="30" t="s">
        <v>46</v>
      </c>
      <c r="I409" s="30" t="s">
        <v>46</v>
      </c>
      <c r="J409" s="30"/>
      <c r="K409" s="30" t="s">
        <v>50</v>
      </c>
      <c r="L409" s="30"/>
      <c r="M409" s="30"/>
      <c r="N409" s="30"/>
      <c r="O409" s="31"/>
      <c r="P409" s="32"/>
      <c r="Q409" s="5"/>
      <c r="R409" s="10"/>
    </row>
    <row r="410" spans="1:18">
      <c r="A410" s="20" t="str">
        <f t="shared" si="243"/>
        <v>RESP</v>
      </c>
      <c r="B410" s="20" t="str">
        <f t="shared" si="244"/>
        <v>INIT</v>
      </c>
      <c r="C410" s="20" t="str">
        <f t="shared" si="245"/>
        <v/>
      </c>
      <c r="D410" s="5"/>
      <c r="E410" s="28" t="s">
        <v>712</v>
      </c>
      <c r="F410" s="36" t="s">
        <v>713</v>
      </c>
      <c r="G410" s="30" t="s">
        <v>663</v>
      </c>
      <c r="H410" s="30" t="s">
        <v>46</v>
      </c>
      <c r="I410" s="30" t="s">
        <v>46</v>
      </c>
      <c r="J410" s="30"/>
      <c r="K410" s="30" t="s">
        <v>47</v>
      </c>
      <c r="L410" s="30"/>
      <c r="M410" s="30"/>
      <c r="N410" s="30"/>
      <c r="O410" s="31"/>
      <c r="P410" s="32"/>
      <c r="Q410" s="5"/>
      <c r="R410" s="10"/>
    </row>
    <row r="411" spans="1:18">
      <c r="A411" s="20" t="str">
        <f t="shared" si="243"/>
        <v>RESP</v>
      </c>
      <c r="B411" s="20" t="str">
        <f t="shared" si="244"/>
        <v>INIT</v>
      </c>
      <c r="C411" s="20" t="str">
        <f t="shared" si="245"/>
        <v/>
      </c>
      <c r="D411" s="5"/>
      <c r="E411" s="28" t="s">
        <v>714</v>
      </c>
      <c r="F411" s="36" t="s">
        <v>715</v>
      </c>
      <c r="G411" s="30" t="s">
        <v>663</v>
      </c>
      <c r="H411" s="30" t="s">
        <v>46</v>
      </c>
      <c r="I411" s="30" t="s">
        <v>46</v>
      </c>
      <c r="J411" s="30"/>
      <c r="K411" s="30" t="s">
        <v>47</v>
      </c>
      <c r="L411" s="30"/>
      <c r="M411" s="30"/>
      <c r="N411" s="30"/>
      <c r="O411" s="31"/>
      <c r="P411" s="32"/>
      <c r="Q411" s="5"/>
      <c r="R411" s="10"/>
    </row>
    <row r="412" spans="1:18" ht="104.45">
      <c r="A412" s="20" t="str">
        <f t="shared" ref="A412:A413" si="246">IF(J412="","RESP","")</f>
        <v>RESP</v>
      </c>
      <c r="B412" s="20" t="str">
        <f t="shared" ref="B412:B413" si="247">IF(M412="","INIT","")</f>
        <v>INIT</v>
      </c>
      <c r="C412" s="20" t="str">
        <f t="shared" ref="C412:C413" si="248">IF(AND(J412="NO",O412=""),"CMTS","")</f>
        <v/>
      </c>
      <c r="D412" s="5"/>
      <c r="E412" s="28" t="s">
        <v>716</v>
      </c>
      <c r="F412" s="36" t="s">
        <v>717</v>
      </c>
      <c r="G412" s="30" t="s">
        <v>663</v>
      </c>
      <c r="H412" s="30" t="s">
        <v>46</v>
      </c>
      <c r="I412" s="30" t="s">
        <v>46</v>
      </c>
      <c r="J412" s="30"/>
      <c r="K412" s="30" t="s">
        <v>47</v>
      </c>
      <c r="L412" s="30"/>
      <c r="M412" s="30"/>
      <c r="N412" s="30"/>
      <c r="O412" s="31"/>
      <c r="P412" s="32"/>
      <c r="Q412" s="5"/>
      <c r="R412" s="10"/>
    </row>
    <row r="413" spans="1:18">
      <c r="A413" s="20" t="str">
        <f t="shared" si="246"/>
        <v>RESP</v>
      </c>
      <c r="B413" s="20" t="str">
        <f t="shared" si="247"/>
        <v>INIT</v>
      </c>
      <c r="C413" s="20" t="str">
        <f t="shared" si="248"/>
        <v/>
      </c>
      <c r="D413" s="5"/>
      <c r="E413" s="28" t="s">
        <v>718</v>
      </c>
      <c r="F413" s="36" t="s">
        <v>719</v>
      </c>
      <c r="G413" s="30" t="s">
        <v>663</v>
      </c>
      <c r="H413" s="30" t="s">
        <v>46</v>
      </c>
      <c r="I413" s="30" t="s">
        <v>46</v>
      </c>
      <c r="J413" s="30"/>
      <c r="K413" s="30" t="s">
        <v>50</v>
      </c>
      <c r="L413" s="30"/>
      <c r="M413" s="30"/>
      <c r="N413" s="30"/>
      <c r="O413" s="31"/>
      <c r="P413" s="32"/>
      <c r="Q413" s="5"/>
      <c r="R413" s="10"/>
    </row>
    <row r="416" spans="1:18" ht="27.6">
      <c r="A416" s="12" t="s">
        <v>32</v>
      </c>
      <c r="B416" s="13"/>
      <c r="C416" s="13"/>
      <c r="D416" s="2"/>
      <c r="E416" s="22" t="s">
        <v>720</v>
      </c>
      <c r="F416" s="23"/>
      <c r="G416" s="40" t="s">
        <v>34</v>
      </c>
      <c r="H416" s="40" t="s">
        <v>35</v>
      </c>
      <c r="I416" s="40" t="s">
        <v>36</v>
      </c>
      <c r="J416" s="40" t="s">
        <v>37</v>
      </c>
      <c r="K416" s="40" t="s">
        <v>38</v>
      </c>
      <c r="L416" s="40" t="s">
        <v>39</v>
      </c>
      <c r="M416" s="40" t="s">
        <v>40</v>
      </c>
      <c r="N416" s="40" t="s">
        <v>41</v>
      </c>
      <c r="O416" s="40" t="s">
        <v>1</v>
      </c>
      <c r="P416" s="41" t="s">
        <v>104</v>
      </c>
      <c r="Q416" s="2"/>
      <c r="R416" s="9" t="s">
        <v>43</v>
      </c>
    </row>
    <row r="417" spans="1:18">
      <c r="A417" s="20" t="str">
        <f t="shared" ref="A417:A421" si="249">IF(J417="","RESP","")</f>
        <v>RESP</v>
      </c>
      <c r="B417" s="20" t="str">
        <f t="shared" ref="B417:B421" si="250">IF(M417="","INIT","")</f>
        <v>INIT</v>
      </c>
      <c r="C417" s="20" t="str">
        <f t="shared" ref="C417:C421" si="251">IF(AND(J417="NO",O417=""),"CMTS","")</f>
        <v/>
      </c>
      <c r="D417" s="5"/>
      <c r="E417" s="28" t="s">
        <v>721</v>
      </c>
      <c r="F417" s="36" t="s">
        <v>722</v>
      </c>
      <c r="G417" s="30" t="s">
        <v>663</v>
      </c>
      <c r="H417" s="30" t="s">
        <v>46</v>
      </c>
      <c r="I417" s="30" t="s">
        <v>46</v>
      </c>
      <c r="J417" s="30"/>
      <c r="K417" s="30" t="s">
        <v>47</v>
      </c>
      <c r="L417" s="30"/>
      <c r="M417" s="30"/>
      <c r="N417" s="30"/>
      <c r="O417" s="31"/>
      <c r="P417" s="32"/>
      <c r="Q417" s="5"/>
      <c r="R417" s="10"/>
    </row>
    <row r="418" spans="1:18">
      <c r="A418" s="20" t="str">
        <f t="shared" si="249"/>
        <v>RESP</v>
      </c>
      <c r="B418" s="20" t="str">
        <f t="shared" si="250"/>
        <v>INIT</v>
      </c>
      <c r="C418" s="20" t="str">
        <f t="shared" si="251"/>
        <v/>
      </c>
      <c r="D418" s="5"/>
      <c r="E418" s="28" t="s">
        <v>723</v>
      </c>
      <c r="F418" s="36" t="s">
        <v>724</v>
      </c>
      <c r="G418" s="30" t="s">
        <v>663</v>
      </c>
      <c r="H418" s="30" t="s">
        <v>46</v>
      </c>
      <c r="I418" s="30" t="s">
        <v>46</v>
      </c>
      <c r="J418" s="30"/>
      <c r="K418" s="30" t="s">
        <v>47</v>
      </c>
      <c r="L418" s="30"/>
      <c r="M418" s="30"/>
      <c r="N418" s="30"/>
      <c r="O418" s="31"/>
      <c r="P418" s="32"/>
      <c r="Q418" s="5"/>
      <c r="R418" s="10"/>
    </row>
    <row r="419" spans="1:18">
      <c r="A419" s="20" t="str">
        <f t="shared" si="249"/>
        <v>RESP</v>
      </c>
      <c r="B419" s="20" t="str">
        <f t="shared" si="250"/>
        <v>INIT</v>
      </c>
      <c r="C419" s="20" t="str">
        <f t="shared" si="251"/>
        <v/>
      </c>
      <c r="D419" s="5"/>
      <c r="E419" s="28" t="s">
        <v>725</v>
      </c>
      <c r="F419" s="36" t="s">
        <v>726</v>
      </c>
      <c r="G419" s="30" t="s">
        <v>663</v>
      </c>
      <c r="H419" s="30" t="s">
        <v>46</v>
      </c>
      <c r="I419" s="30" t="s">
        <v>46</v>
      </c>
      <c r="J419" s="30"/>
      <c r="K419" s="30" t="s">
        <v>47</v>
      </c>
      <c r="L419" s="30"/>
      <c r="M419" s="30"/>
      <c r="N419" s="30"/>
      <c r="O419" s="31"/>
      <c r="P419" s="32"/>
      <c r="Q419" s="5"/>
      <c r="R419" s="10"/>
    </row>
    <row r="420" spans="1:18">
      <c r="A420" s="20" t="str">
        <f t="shared" si="249"/>
        <v>RESP</v>
      </c>
      <c r="B420" s="20" t="str">
        <f t="shared" si="250"/>
        <v>INIT</v>
      </c>
      <c r="C420" s="20" t="str">
        <f t="shared" si="251"/>
        <v/>
      </c>
      <c r="D420" s="5"/>
      <c r="E420" s="28" t="s">
        <v>727</v>
      </c>
      <c r="F420" s="36" t="s">
        <v>728</v>
      </c>
      <c r="G420" s="30" t="s">
        <v>663</v>
      </c>
      <c r="H420" s="30" t="s">
        <v>46</v>
      </c>
      <c r="I420" s="30" t="s">
        <v>46</v>
      </c>
      <c r="J420" s="30"/>
      <c r="K420" s="30" t="s">
        <v>47</v>
      </c>
      <c r="L420" s="30"/>
      <c r="M420" s="30"/>
      <c r="N420" s="30"/>
      <c r="O420" s="31"/>
      <c r="P420" s="32"/>
      <c r="Q420" s="5"/>
      <c r="R420" s="10"/>
    </row>
    <row r="421" spans="1:18">
      <c r="A421" s="20" t="str">
        <f t="shared" si="249"/>
        <v>RESP</v>
      </c>
      <c r="B421" s="20" t="str">
        <f t="shared" si="250"/>
        <v>INIT</v>
      </c>
      <c r="C421" s="20" t="str">
        <f t="shared" si="251"/>
        <v/>
      </c>
      <c r="D421" s="5"/>
      <c r="E421" s="28" t="s">
        <v>729</v>
      </c>
      <c r="F421" s="36" t="s">
        <v>730</v>
      </c>
      <c r="G421" s="30" t="s">
        <v>663</v>
      </c>
      <c r="H421" s="30" t="s">
        <v>46</v>
      </c>
      <c r="I421" s="30" t="s">
        <v>46</v>
      </c>
      <c r="J421" s="30"/>
      <c r="K421" s="30" t="s">
        <v>47</v>
      </c>
      <c r="L421" s="30"/>
      <c r="M421" s="30"/>
      <c r="N421" s="30"/>
      <c r="O421" s="31"/>
      <c r="P421" s="32"/>
      <c r="Q421" s="5"/>
      <c r="R421" s="10"/>
    </row>
    <row r="422" spans="1:18">
      <c r="A422" s="4"/>
      <c r="B422" s="4"/>
      <c r="C422" s="4"/>
      <c r="D422" s="5"/>
      <c r="E422" s="58"/>
      <c r="F422" s="49"/>
      <c r="Q422" s="5"/>
      <c r="R422" s="8"/>
    </row>
    <row r="424" spans="1:18" ht="27.6">
      <c r="A424" s="12" t="s">
        <v>32</v>
      </c>
      <c r="B424" s="13"/>
      <c r="C424" s="13"/>
      <c r="D424" s="2"/>
      <c r="E424" s="22" t="s">
        <v>731</v>
      </c>
      <c r="F424" s="23"/>
      <c r="G424" s="40" t="s">
        <v>34</v>
      </c>
      <c r="H424" s="40" t="s">
        <v>35</v>
      </c>
      <c r="I424" s="40" t="s">
        <v>36</v>
      </c>
      <c r="J424" s="40" t="s">
        <v>37</v>
      </c>
      <c r="K424" s="40" t="s">
        <v>38</v>
      </c>
      <c r="L424" s="40" t="s">
        <v>39</v>
      </c>
      <c r="M424" s="40" t="s">
        <v>40</v>
      </c>
      <c r="N424" s="40" t="s">
        <v>41</v>
      </c>
      <c r="O424" s="40" t="s">
        <v>1</v>
      </c>
      <c r="P424" s="41" t="s">
        <v>104</v>
      </c>
      <c r="Q424" s="2"/>
      <c r="R424" s="9" t="s">
        <v>43</v>
      </c>
    </row>
    <row r="425" spans="1:18" ht="26.45">
      <c r="A425" s="20" t="str">
        <f t="shared" ref="A425" si="252">IF(J425="","RESP","")</f>
        <v>RESP</v>
      </c>
      <c r="B425" s="20" t="str">
        <f t="shared" ref="B425" si="253">IF(M425="","INIT","")</f>
        <v>INIT</v>
      </c>
      <c r="C425" s="20" t="str">
        <f t="shared" ref="C425" si="254">IF(AND(J425="NO",O425=""),"CMTS","")</f>
        <v/>
      </c>
      <c r="D425" s="5"/>
      <c r="E425" s="28" t="s">
        <v>732</v>
      </c>
      <c r="F425" s="36" t="s">
        <v>733</v>
      </c>
      <c r="G425" s="30" t="s">
        <v>663</v>
      </c>
      <c r="H425" s="30" t="s">
        <v>46</v>
      </c>
      <c r="I425" s="30" t="s">
        <v>46</v>
      </c>
      <c r="J425" s="30"/>
      <c r="K425" s="30" t="s">
        <v>47</v>
      </c>
      <c r="L425" s="30"/>
      <c r="M425" s="30"/>
      <c r="N425" s="30"/>
      <c r="O425" s="31"/>
      <c r="P425" s="32"/>
      <c r="Q425" s="5"/>
      <c r="R425" s="10"/>
    </row>
    <row r="428" spans="1:18" ht="27.6">
      <c r="A428" s="12" t="s">
        <v>32</v>
      </c>
      <c r="B428" s="13"/>
      <c r="C428" s="13"/>
      <c r="D428" s="2"/>
      <c r="E428" s="22" t="s">
        <v>734</v>
      </c>
      <c r="F428" s="23"/>
      <c r="G428" s="40" t="s">
        <v>34</v>
      </c>
      <c r="H428" s="40" t="s">
        <v>35</v>
      </c>
      <c r="I428" s="40" t="s">
        <v>36</v>
      </c>
      <c r="J428" s="40" t="s">
        <v>37</v>
      </c>
      <c r="K428" s="40" t="s">
        <v>38</v>
      </c>
      <c r="L428" s="40" t="s">
        <v>39</v>
      </c>
      <c r="M428" s="40" t="s">
        <v>40</v>
      </c>
      <c r="N428" s="40" t="s">
        <v>41</v>
      </c>
      <c r="O428" s="40" t="s">
        <v>1</v>
      </c>
      <c r="P428" s="41" t="s">
        <v>104</v>
      </c>
      <c r="Q428" s="2"/>
      <c r="R428" s="9" t="s">
        <v>43</v>
      </c>
    </row>
    <row r="429" spans="1:18" ht="32.450000000000003" customHeight="1">
      <c r="A429" s="20" t="str">
        <f t="shared" ref="A429:A430" si="255">IF(J429="","RESP","")</f>
        <v>RESP</v>
      </c>
      <c r="B429" s="20" t="str">
        <f t="shared" ref="B429:B430" si="256">IF(M429="","INIT","")</f>
        <v>INIT</v>
      </c>
      <c r="C429" s="20" t="str">
        <f t="shared" ref="C429:C430" si="257">IF(AND(J429="NO",O429=""),"CMTS","")</f>
        <v/>
      </c>
      <c r="D429" s="5"/>
      <c r="E429" s="28" t="s">
        <v>735</v>
      </c>
      <c r="F429" s="36" t="s">
        <v>736</v>
      </c>
      <c r="G429" s="30" t="s">
        <v>663</v>
      </c>
      <c r="H429" s="30" t="s">
        <v>512</v>
      </c>
      <c r="I429" s="30" t="s">
        <v>46</v>
      </c>
      <c r="J429" s="30"/>
      <c r="K429" s="30" t="s">
        <v>47</v>
      </c>
      <c r="L429" s="30"/>
      <c r="M429" s="30"/>
      <c r="N429" s="30"/>
      <c r="O429" s="31"/>
      <c r="P429" s="32"/>
      <c r="Q429" s="5"/>
      <c r="R429" s="10"/>
    </row>
    <row r="430" spans="1:18" ht="32.450000000000003" customHeight="1">
      <c r="A430" s="20" t="str">
        <f t="shared" si="255"/>
        <v>RESP</v>
      </c>
      <c r="B430" s="20" t="str">
        <f t="shared" si="256"/>
        <v>INIT</v>
      </c>
      <c r="C430" s="20" t="str">
        <f t="shared" si="257"/>
        <v/>
      </c>
      <c r="D430" s="5"/>
      <c r="E430" s="28" t="s">
        <v>737</v>
      </c>
      <c r="F430" s="36" t="s">
        <v>738</v>
      </c>
      <c r="G430" s="30" t="s">
        <v>663</v>
      </c>
      <c r="H430" s="30" t="s">
        <v>512</v>
      </c>
      <c r="I430" s="30" t="s">
        <v>46</v>
      </c>
      <c r="J430" s="30"/>
      <c r="K430" s="30" t="s">
        <v>47</v>
      </c>
      <c r="L430" s="30"/>
      <c r="M430" s="30"/>
      <c r="N430" s="30"/>
      <c r="O430" s="31"/>
      <c r="P430" s="32"/>
      <c r="Q430" s="5"/>
      <c r="R430" s="10"/>
    </row>
  </sheetData>
  <phoneticPr fontId="9" type="noConversion"/>
  <conditionalFormatting sqref="A25:C35 A36:E36 A37:C159 A162:C218 A240:C320 A375:C384 A386:C393 A416:C422">
    <cfRule type="cellIs" dxfId="31" priority="323" operator="equal">
      <formula>"RESP"</formula>
    </cfRule>
    <cfRule type="cellIs" dxfId="30" priority="324" operator="equal">
      <formula>"INIT"</formula>
    </cfRule>
    <cfRule type="cellIs" dxfId="29" priority="325" operator="equal">
      <formula>"CMTS"</formula>
    </cfRule>
  </conditionalFormatting>
  <conditionalFormatting sqref="A26:C29 A37:C37 A55:C56 A64:C64">
    <cfRule type="cellIs" dxfId="28" priority="336" operator="equal">
      <formula>"OK"</formula>
    </cfRule>
  </conditionalFormatting>
  <conditionalFormatting sqref="A221:C226">
    <cfRule type="cellIs" dxfId="27" priority="76" operator="equal">
      <formula>"RESP"</formula>
    </cfRule>
    <cfRule type="cellIs" dxfId="26" priority="77" operator="equal">
      <formula>"INIT"</formula>
    </cfRule>
    <cfRule type="cellIs" dxfId="25" priority="78" operator="equal">
      <formula>"CMTS"</formula>
    </cfRule>
  </conditionalFormatting>
  <conditionalFormatting sqref="A229:C237">
    <cfRule type="cellIs" dxfId="24" priority="278" operator="equal">
      <formula>"RESP"</formula>
    </cfRule>
    <cfRule type="cellIs" dxfId="23" priority="279" operator="equal">
      <formula>"INIT"</formula>
    </cfRule>
    <cfRule type="cellIs" dxfId="22" priority="280" operator="equal">
      <formula>"CMTS"</formula>
    </cfRule>
  </conditionalFormatting>
  <conditionalFormatting sqref="A323:C329">
    <cfRule type="cellIs" dxfId="21" priority="158" operator="equal">
      <formula>"RESP"</formula>
    </cfRule>
    <cfRule type="cellIs" dxfId="20" priority="159" operator="equal">
      <formula>"INIT"</formula>
    </cfRule>
    <cfRule type="cellIs" dxfId="19" priority="160" operator="equal">
      <formula>"CMTS"</formula>
    </cfRule>
  </conditionalFormatting>
  <conditionalFormatting sqref="A332:C333">
    <cfRule type="cellIs" dxfId="18" priority="55" operator="equal">
      <formula>"RESP"</formula>
    </cfRule>
    <cfRule type="cellIs" dxfId="17" priority="56" operator="equal">
      <formula>"INIT"</formula>
    </cfRule>
    <cfRule type="cellIs" dxfId="16" priority="57" operator="equal">
      <formula>"CMTS"</formula>
    </cfRule>
  </conditionalFormatting>
  <conditionalFormatting sqref="A336:C372">
    <cfRule type="cellIs" dxfId="15" priority="119" operator="equal">
      <formula>"RESP"</formula>
    </cfRule>
    <cfRule type="cellIs" dxfId="14" priority="120" operator="equal">
      <formula>"INIT"</formula>
    </cfRule>
    <cfRule type="cellIs" dxfId="13" priority="121" operator="equal">
      <formula>"CMTS"</formula>
    </cfRule>
  </conditionalFormatting>
  <conditionalFormatting sqref="A396:C402">
    <cfRule type="cellIs" dxfId="12" priority="107" operator="equal">
      <formula>"RESP"</formula>
    </cfRule>
    <cfRule type="cellIs" dxfId="11" priority="108" operator="equal">
      <formula>"INIT"</formula>
    </cfRule>
    <cfRule type="cellIs" dxfId="10" priority="109" operator="equal">
      <formula>"CMTS"</formula>
    </cfRule>
  </conditionalFormatting>
  <conditionalFormatting sqref="A405:C413">
    <cfRule type="cellIs" dxfId="9" priority="92" operator="equal">
      <formula>"RESP"</formula>
    </cfRule>
    <cfRule type="cellIs" dxfId="8" priority="93" operator="equal">
      <formula>"INIT"</formula>
    </cfRule>
    <cfRule type="cellIs" dxfId="7" priority="94" operator="equal">
      <formula>"CMTS"</formula>
    </cfRule>
  </conditionalFormatting>
  <conditionalFormatting sqref="A424:C425">
    <cfRule type="cellIs" dxfId="6" priority="1" operator="equal">
      <formula>"RESP"</formula>
    </cfRule>
    <cfRule type="cellIs" dxfId="5" priority="2" operator="equal">
      <formula>"INIT"</formula>
    </cfRule>
    <cfRule type="cellIs" dxfId="4" priority="3" operator="equal">
      <formula>"CMTS"</formula>
    </cfRule>
  </conditionalFormatting>
  <conditionalFormatting sqref="A428:C430">
    <cfRule type="cellIs" dxfId="3" priority="58" operator="equal">
      <formula>"RESP"</formula>
    </cfRule>
    <cfRule type="cellIs" dxfId="2" priority="59" operator="equal">
      <formula>"INIT"</formula>
    </cfRule>
    <cfRule type="cellIs" dxfId="1" priority="60" operator="equal">
      <formula>"CMTS"</formula>
    </cfRule>
  </conditionalFormatting>
  <conditionalFormatting sqref="C36:E36">
    <cfRule type="cellIs" dxfId="0" priority="88" operator="equal">
      <formula>"OK"</formula>
    </cfRule>
  </conditionalFormatting>
  <dataValidations count="3">
    <dataValidation allowBlank="1" showInputMessage="1" showErrorMessage="1" error="Valid Entries : &quot;YES&quot; , &quot;NO&quot; , &quot;N/A&quot;" sqref="M425:N425 M230:N237 M58:N63 M222:N226 M397:N402 M324:N329 M333:N333 M406:N413 M104:N111 M81:N100 M67:N77 M31:N35 M163:N218 M376:N383 M39:N54 M272:N282 M337:N372 M286:N289 M429:N430 M115:N122 M241:N270 M387:N393 M293:N320 M417:N421 M126:N159" xr:uid="{9507918F-EE58-4C74-B373-7C795F0615C6}"/>
    <dataValidation type="list" allowBlank="1" showInputMessage="1" showErrorMessage="1" error="Valid Entries : &quot;YES&quot; , &quot;NO&quot; , &quot;N/A&quot;" sqref="J417:J421 J230:J237 L230:L237 L58:L63 J397:J402 J324:J329 L324:L329 L337:L372 L397:L402 J272:J282 J406:J413 L406:L413 J58:J63 J104:J111 L81:L100 J67:J77 L67:L77 L286:L289 L31:L35 J31:J35 L222:L226 J222:J226 J163:J218 L163:L218 L376:L383 J376:J383 L104:L111 J81:J100 L39:L54 J39:J54 L272:L282 J337:J372 J286:J289 L333 J429:J430 L429:L430 J333 J425 L115:L122 J115:J122 L241:L270 J241:J270 L387:L393 J387:J393 L293:L320 J293:J320 L425 L417:L421 J126:J159 L126:L159" xr:uid="{DE372806-5B16-41EE-A193-3202E8E0F48A}">
      <formula1>" ,YES,NO,N/A"</formula1>
    </dataValidation>
    <dataValidation type="date" operator="greaterThan" allowBlank="1" showInputMessage="1" showErrorMessage="1" error="Acceptable formats :_x000a_mm/dd/yyyy _x000a_mm-dd-yyyy_x000a_dd-mmm-yyyy" prompt="Acceptable formats :_x000a_mm/dd/yyyy _x000a_mm-dd-yyyy_x000a_dd-mmm-yyyy" sqref="F14 G17:G23" xr:uid="{4388E478-165C-4914-AD0E-934C5AD74B0D}">
      <formula1>36526</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D6E9-3026-4D48-A549-F42906FA4042}">
  <dimension ref="A1:E399"/>
  <sheetViews>
    <sheetView topLeftCell="A245" zoomScale="85" zoomScaleNormal="85" workbookViewId="0">
      <selection activeCell="D245" sqref="D245"/>
    </sheetView>
  </sheetViews>
  <sheetFormatPr defaultRowHeight="14.45"/>
  <cols>
    <col min="1" max="1" width="41.28515625" customWidth="1"/>
    <col min="2" max="2" width="58.85546875" customWidth="1"/>
    <col min="3" max="3" width="50.85546875" customWidth="1"/>
    <col min="4" max="4" width="59.85546875" style="2" customWidth="1"/>
    <col min="5" max="5" width="42.5703125" customWidth="1"/>
  </cols>
  <sheetData>
    <row r="1" spans="1:5" s="2" customFormat="1">
      <c r="A1" s="24" t="s">
        <v>33</v>
      </c>
      <c r="B1" s="25"/>
      <c r="C1" s="62" t="s">
        <v>739</v>
      </c>
      <c r="D1" s="9" t="s">
        <v>740</v>
      </c>
      <c r="E1" s="64" t="s">
        <v>1</v>
      </c>
    </row>
    <row r="2" spans="1:5" s="2" customFormat="1" ht="51.95">
      <c r="A2" s="99" t="s">
        <v>44</v>
      </c>
      <c r="B2" s="97" t="s">
        <v>45</v>
      </c>
      <c r="C2" s="95" t="s">
        <v>741</v>
      </c>
      <c r="D2" s="96" t="s">
        <v>742</v>
      </c>
      <c r="E2" s="95" t="s">
        <v>743</v>
      </c>
    </row>
    <row r="3" spans="1:5" s="2" customFormat="1" ht="39">
      <c r="A3" s="99" t="s">
        <v>48</v>
      </c>
      <c r="B3" s="97" t="s">
        <v>49</v>
      </c>
      <c r="C3" s="95" t="s">
        <v>741</v>
      </c>
      <c r="D3" s="96" t="s">
        <v>742</v>
      </c>
      <c r="E3" s="95" t="s">
        <v>744</v>
      </c>
    </row>
    <row r="4" spans="1:5" s="2" customFormat="1" ht="39">
      <c r="A4" s="99" t="s">
        <v>51</v>
      </c>
      <c r="B4" s="97" t="s">
        <v>52</v>
      </c>
      <c r="C4" s="95"/>
      <c r="D4" s="96"/>
      <c r="E4" s="95" t="s">
        <v>745</v>
      </c>
    </row>
    <row r="5" spans="1:5" s="2" customFormat="1" ht="51.95">
      <c r="A5" s="99" t="s">
        <v>53</v>
      </c>
      <c r="B5" s="97" t="s">
        <v>54</v>
      </c>
      <c r="C5" s="95" t="s">
        <v>746</v>
      </c>
      <c r="D5" s="96" t="s">
        <v>747</v>
      </c>
      <c r="E5" s="95" t="s">
        <v>748</v>
      </c>
    </row>
    <row r="6" spans="1:5" s="2" customFormat="1" ht="39">
      <c r="A6" s="99" t="s">
        <v>55</v>
      </c>
      <c r="B6" s="97" t="s">
        <v>56</v>
      </c>
      <c r="C6" s="95" t="s">
        <v>746</v>
      </c>
      <c r="D6" s="96" t="s">
        <v>747</v>
      </c>
      <c r="E6" s="95" t="s">
        <v>749</v>
      </c>
    </row>
    <row r="7" spans="1:5" s="2" customFormat="1">
      <c r="A7" s="77"/>
      <c r="B7" s="77"/>
      <c r="C7" s="77"/>
      <c r="D7" s="77"/>
      <c r="E7" s="77"/>
    </row>
    <row r="8" spans="1:5" s="2" customFormat="1">
      <c r="A8" s="77"/>
      <c r="B8" s="77"/>
      <c r="C8" s="77"/>
      <c r="D8" s="77"/>
      <c r="E8" s="77"/>
    </row>
    <row r="9" spans="1:5">
      <c r="A9" s="24" t="s">
        <v>57</v>
      </c>
      <c r="B9" s="25"/>
      <c r="C9" s="27" t="s">
        <v>739</v>
      </c>
      <c r="D9" s="9" t="s">
        <v>740</v>
      </c>
      <c r="E9" s="26" t="s">
        <v>1</v>
      </c>
    </row>
    <row r="10" spans="1:5" ht="101.45">
      <c r="A10" s="65" t="s">
        <v>58</v>
      </c>
      <c r="B10" s="73" t="s">
        <v>59</v>
      </c>
      <c r="C10" s="74" t="s">
        <v>750</v>
      </c>
      <c r="D10" s="75" t="s">
        <v>751</v>
      </c>
      <c r="E10" s="76" t="s">
        <v>752</v>
      </c>
    </row>
    <row r="11" spans="1:5" ht="51.95">
      <c r="A11" s="65" t="s">
        <v>60</v>
      </c>
      <c r="B11" s="73" t="s">
        <v>61</v>
      </c>
      <c r="C11" s="74" t="s">
        <v>750</v>
      </c>
      <c r="D11" s="75" t="s">
        <v>753</v>
      </c>
      <c r="E11" s="76" t="s">
        <v>754</v>
      </c>
    </row>
    <row r="12" spans="1:5" ht="78">
      <c r="A12" s="65" t="s">
        <v>62</v>
      </c>
      <c r="B12" s="73" t="s">
        <v>63</v>
      </c>
      <c r="C12" s="74" t="s">
        <v>750</v>
      </c>
      <c r="D12" s="75" t="s">
        <v>755</v>
      </c>
      <c r="E12" s="76" t="s">
        <v>756</v>
      </c>
    </row>
    <row r="13" spans="1:5" ht="26.1">
      <c r="A13" s="65" t="s">
        <v>64</v>
      </c>
      <c r="B13" s="60" t="s">
        <v>65</v>
      </c>
      <c r="C13" s="74"/>
      <c r="D13" s="75"/>
      <c r="E13" s="76"/>
    </row>
    <row r="14" spans="1:5" ht="90.95">
      <c r="A14" s="65" t="s">
        <v>66</v>
      </c>
      <c r="B14" s="73" t="s">
        <v>67</v>
      </c>
      <c r="C14" s="74" t="s">
        <v>750</v>
      </c>
      <c r="D14" s="75" t="s">
        <v>757</v>
      </c>
      <c r="E14" s="76"/>
    </row>
    <row r="15" spans="1:5" ht="26.1">
      <c r="A15" s="65" t="s">
        <v>68</v>
      </c>
      <c r="B15" s="60" t="s">
        <v>69</v>
      </c>
      <c r="C15" s="74"/>
      <c r="D15" s="75"/>
      <c r="E15" s="76"/>
    </row>
    <row r="16" spans="1:5" ht="65.099999999999994">
      <c r="A16" s="65" t="s">
        <v>70</v>
      </c>
      <c r="B16" s="73" t="s">
        <v>71</v>
      </c>
      <c r="C16" s="74" t="s">
        <v>750</v>
      </c>
      <c r="D16" s="75" t="s">
        <v>758</v>
      </c>
      <c r="E16" s="76"/>
    </row>
    <row r="17" spans="1:5" ht="26.1">
      <c r="A17" s="65" t="s">
        <v>72</v>
      </c>
      <c r="B17" s="60" t="s">
        <v>73</v>
      </c>
      <c r="C17" s="74"/>
      <c r="D17" s="75"/>
      <c r="E17" s="76"/>
    </row>
    <row r="18" spans="1:5" ht="65.099999999999994">
      <c r="A18" s="65" t="s">
        <v>74</v>
      </c>
      <c r="B18" s="73" t="s">
        <v>75</v>
      </c>
      <c r="C18" s="74" t="s">
        <v>759</v>
      </c>
      <c r="D18" s="75"/>
      <c r="E18" s="76"/>
    </row>
    <row r="19" spans="1:5" ht="26.1">
      <c r="A19" s="65" t="s">
        <v>76</v>
      </c>
      <c r="B19" s="60" t="s">
        <v>77</v>
      </c>
      <c r="C19" s="74"/>
      <c r="D19" s="75"/>
      <c r="E19" s="76"/>
    </row>
    <row r="20" spans="1:5" ht="51.95">
      <c r="A20" s="65" t="s">
        <v>78</v>
      </c>
      <c r="B20" s="73" t="s">
        <v>79</v>
      </c>
      <c r="C20" s="74" t="s">
        <v>750</v>
      </c>
      <c r="D20" s="75" t="s">
        <v>760</v>
      </c>
      <c r="E20" s="76"/>
    </row>
    <row r="21" spans="1:5" ht="51.95">
      <c r="A21" s="65" t="s">
        <v>80</v>
      </c>
      <c r="B21" s="73" t="s">
        <v>81</v>
      </c>
      <c r="C21" s="74" t="s">
        <v>750</v>
      </c>
      <c r="D21" s="75" t="s">
        <v>761</v>
      </c>
      <c r="E21" s="76"/>
    </row>
    <row r="22" spans="1:5" ht="26.1">
      <c r="A22" s="65" t="s">
        <v>82</v>
      </c>
      <c r="B22" s="73" t="s">
        <v>83</v>
      </c>
      <c r="C22" s="74"/>
      <c r="D22" s="75"/>
      <c r="E22" s="76"/>
    </row>
    <row r="23" spans="1:5" ht="26.1">
      <c r="A23" s="65" t="s">
        <v>84</v>
      </c>
      <c r="B23" s="73" t="s">
        <v>85</v>
      </c>
      <c r="C23" s="74"/>
      <c r="D23" s="75"/>
      <c r="E23" s="76"/>
    </row>
    <row r="24" spans="1:5" ht="39">
      <c r="A24" s="65" t="s">
        <v>86</v>
      </c>
      <c r="B24" s="73" t="s">
        <v>87</v>
      </c>
      <c r="C24" s="74"/>
      <c r="D24" s="75"/>
      <c r="E24" s="76"/>
    </row>
    <row r="25" spans="1:5" ht="26.1">
      <c r="A25" s="65" t="s">
        <v>88</v>
      </c>
      <c r="B25" s="73" t="s">
        <v>89</v>
      </c>
      <c r="C25" s="74"/>
      <c r="D25" s="75"/>
      <c r="E25" s="76"/>
    </row>
    <row r="26" spans="1:5">
      <c r="A26" s="77"/>
      <c r="B26" s="77"/>
      <c r="C26" s="78"/>
      <c r="D26" s="78"/>
      <c r="E26" s="77"/>
    </row>
    <row r="27" spans="1:5">
      <c r="A27" s="77"/>
      <c r="B27" s="77"/>
      <c r="C27" s="78"/>
      <c r="D27" s="78"/>
      <c r="E27" s="77"/>
    </row>
    <row r="28" spans="1:5">
      <c r="A28" s="24" t="s">
        <v>90</v>
      </c>
      <c r="B28" s="25"/>
      <c r="C28" s="27" t="s">
        <v>739</v>
      </c>
      <c r="D28" s="9" t="s">
        <v>740</v>
      </c>
      <c r="E28" s="26" t="s">
        <v>1</v>
      </c>
    </row>
    <row r="29" spans="1:5" ht="29.1">
      <c r="A29" s="65" t="s">
        <v>91</v>
      </c>
      <c r="B29" s="73" t="s">
        <v>92</v>
      </c>
      <c r="C29" s="74" t="s">
        <v>762</v>
      </c>
      <c r="D29" s="75" t="s">
        <v>753</v>
      </c>
      <c r="E29" s="76" t="s">
        <v>763</v>
      </c>
    </row>
    <row r="30" spans="1:5" ht="29.1">
      <c r="A30" s="65" t="s">
        <v>93</v>
      </c>
      <c r="B30" s="73" t="s">
        <v>94</v>
      </c>
      <c r="C30" s="74" t="s">
        <v>762</v>
      </c>
      <c r="D30" s="75" t="s">
        <v>753</v>
      </c>
      <c r="E30" s="76" t="s">
        <v>764</v>
      </c>
    </row>
    <row r="31" spans="1:5" ht="29.1">
      <c r="A31" s="65" t="s">
        <v>95</v>
      </c>
      <c r="B31" s="73" t="s">
        <v>96</v>
      </c>
      <c r="C31" s="74" t="s">
        <v>762</v>
      </c>
      <c r="D31" s="75" t="s">
        <v>753</v>
      </c>
      <c r="E31" s="76" t="s">
        <v>765</v>
      </c>
    </row>
    <row r="32" spans="1:5" ht="29.1">
      <c r="A32" s="65" t="s">
        <v>97</v>
      </c>
      <c r="B32" s="73" t="s">
        <v>98</v>
      </c>
      <c r="C32" s="74" t="s">
        <v>762</v>
      </c>
      <c r="D32" s="75" t="s">
        <v>753</v>
      </c>
      <c r="E32" s="76" t="s">
        <v>766</v>
      </c>
    </row>
    <row r="33" spans="1:5" ht="29.1">
      <c r="A33" s="65" t="s">
        <v>99</v>
      </c>
      <c r="B33" s="73" t="s">
        <v>100</v>
      </c>
      <c r="C33" s="74" t="s">
        <v>762</v>
      </c>
      <c r="D33" s="75" t="s">
        <v>753</v>
      </c>
      <c r="E33" s="76" t="s">
        <v>767</v>
      </c>
    </row>
    <row r="34" spans="1:5" ht="39">
      <c r="A34" s="65" t="s">
        <v>101</v>
      </c>
      <c r="B34" s="73" t="s">
        <v>102</v>
      </c>
      <c r="C34" s="74" t="s">
        <v>762</v>
      </c>
      <c r="D34" s="75" t="s">
        <v>753</v>
      </c>
      <c r="E34" s="76" t="s">
        <v>768</v>
      </c>
    </row>
    <row r="35" spans="1:5">
      <c r="A35" s="77"/>
      <c r="B35" s="77"/>
      <c r="C35" s="78"/>
      <c r="D35" s="78"/>
      <c r="E35" s="77"/>
    </row>
    <row r="37" spans="1:5">
      <c r="A37" s="24" t="s">
        <v>769</v>
      </c>
      <c r="B37" s="34"/>
      <c r="C37" s="62" t="s">
        <v>739</v>
      </c>
      <c r="D37" s="9" t="s">
        <v>740</v>
      </c>
      <c r="E37" s="64" t="s">
        <v>1</v>
      </c>
    </row>
    <row r="38" spans="1:5" ht="26.1">
      <c r="A38" s="65" t="s">
        <v>105</v>
      </c>
      <c r="B38" s="73" t="s">
        <v>106</v>
      </c>
      <c r="C38" s="32"/>
      <c r="D38" s="75"/>
      <c r="E38" s="31"/>
    </row>
    <row r="39" spans="1:5" ht="26.1">
      <c r="A39" s="65" t="s">
        <v>108</v>
      </c>
      <c r="B39" s="73" t="s">
        <v>109</v>
      </c>
      <c r="C39" s="32"/>
      <c r="D39" s="75"/>
      <c r="E39" s="31"/>
    </row>
    <row r="40" spans="1:5" ht="26.1">
      <c r="A40" s="65" t="s">
        <v>110</v>
      </c>
      <c r="B40" s="73" t="s">
        <v>111</v>
      </c>
      <c r="C40" s="32"/>
      <c r="D40" s="75"/>
      <c r="E40" s="31"/>
    </row>
    <row r="41" spans="1:5" ht="26.1">
      <c r="A41" s="65" t="s">
        <v>112</v>
      </c>
      <c r="B41" s="73" t="s">
        <v>113</v>
      </c>
      <c r="C41" s="32"/>
      <c r="D41" s="75"/>
      <c r="E41" s="31"/>
    </row>
    <row r="42" spans="1:5" ht="26.1">
      <c r="A42" s="65" t="s">
        <v>114</v>
      </c>
      <c r="B42" s="73" t="s">
        <v>115</v>
      </c>
      <c r="C42" s="32"/>
      <c r="D42" s="75"/>
      <c r="E42" s="31"/>
    </row>
    <row r="43" spans="1:5" ht="26.1">
      <c r="A43" s="65" t="s">
        <v>116</v>
      </c>
      <c r="B43" s="73" t="s">
        <v>117</v>
      </c>
      <c r="C43" s="32"/>
      <c r="D43" s="75"/>
      <c r="E43" s="31"/>
    </row>
    <row r="44" spans="1:5">
      <c r="A44" s="65" t="s">
        <v>118</v>
      </c>
      <c r="B44" s="73" t="s">
        <v>119</v>
      </c>
      <c r="C44" s="32"/>
      <c r="D44" s="78"/>
      <c r="E44" s="31"/>
    </row>
    <row r="45" spans="1:5" ht="26.1">
      <c r="A45" s="65" t="s">
        <v>120</v>
      </c>
      <c r="B45" s="73" t="s">
        <v>121</v>
      </c>
      <c r="C45" s="32"/>
      <c r="D45" s="78"/>
      <c r="E45" s="31"/>
    </row>
    <row r="46" spans="1:5" ht="26.1">
      <c r="A46" s="65" t="s">
        <v>123</v>
      </c>
      <c r="B46" s="73" t="s">
        <v>124</v>
      </c>
      <c r="C46" s="32"/>
      <c r="D46" s="75"/>
      <c r="E46" s="31"/>
    </row>
    <row r="47" spans="1:5" ht="26.1">
      <c r="A47" s="65" t="s">
        <v>125</v>
      </c>
      <c r="B47" s="73" t="s">
        <v>126</v>
      </c>
      <c r="C47" s="32"/>
      <c r="D47" s="75"/>
      <c r="E47" s="31"/>
    </row>
    <row r="48" spans="1:5">
      <c r="A48" s="65" t="s">
        <v>128</v>
      </c>
      <c r="B48" s="73" t="s">
        <v>129</v>
      </c>
      <c r="C48" s="32"/>
      <c r="D48" s="78"/>
      <c r="E48" s="31"/>
    </row>
    <row r="51" spans="1:5" s="103" customFormat="1" ht="39.6">
      <c r="A51" s="104" t="s">
        <v>770</v>
      </c>
      <c r="B51" s="105"/>
      <c r="C51" s="100" t="s">
        <v>739</v>
      </c>
      <c r="D51" s="9" t="s">
        <v>740</v>
      </c>
      <c r="E51" s="100" t="s">
        <v>1</v>
      </c>
    </row>
    <row r="52" spans="1:5" s="103" customFormat="1" ht="39.6">
      <c r="A52" s="106" t="s">
        <v>132</v>
      </c>
      <c r="B52" s="33" t="s">
        <v>133</v>
      </c>
      <c r="C52" s="101" t="s">
        <v>771</v>
      </c>
      <c r="D52" s="75" t="s">
        <v>742</v>
      </c>
      <c r="E52" s="102" t="s">
        <v>772</v>
      </c>
    </row>
    <row r="53" spans="1:5" s="103" customFormat="1" ht="57.95">
      <c r="A53" s="106" t="s">
        <v>134</v>
      </c>
      <c r="B53" s="33" t="s">
        <v>135</v>
      </c>
      <c r="C53" s="101" t="s">
        <v>771</v>
      </c>
      <c r="D53" s="75" t="s">
        <v>773</v>
      </c>
      <c r="E53" s="102" t="s">
        <v>774</v>
      </c>
    </row>
    <row r="54" spans="1:5" s="103" customFormat="1" ht="57.95">
      <c r="A54" s="106" t="s">
        <v>136</v>
      </c>
      <c r="B54" s="33" t="s">
        <v>137</v>
      </c>
      <c r="C54" s="101" t="s">
        <v>771</v>
      </c>
      <c r="D54" s="75" t="s">
        <v>775</v>
      </c>
      <c r="E54" s="102" t="s">
        <v>776</v>
      </c>
    </row>
    <row r="55" spans="1:5" s="103" customFormat="1" ht="78.599999999999994">
      <c r="A55" s="106" t="s">
        <v>138</v>
      </c>
      <c r="B55" s="33" t="s">
        <v>139</v>
      </c>
      <c r="C55" s="101" t="s">
        <v>771</v>
      </c>
      <c r="D55" s="83" t="s">
        <v>742</v>
      </c>
      <c r="E55" s="102" t="s">
        <v>777</v>
      </c>
    </row>
    <row r="56" spans="1:5" s="103" customFormat="1" ht="41.1" customHeight="1">
      <c r="A56" s="106" t="s">
        <v>140</v>
      </c>
      <c r="B56" s="33" t="s">
        <v>141</v>
      </c>
      <c r="C56" s="101"/>
      <c r="D56" s="83"/>
      <c r="E56" s="102"/>
    </row>
    <row r="57" spans="1:5" s="103" customFormat="1" ht="78.599999999999994">
      <c r="A57" s="106" t="s">
        <v>142</v>
      </c>
      <c r="B57" s="33" t="s">
        <v>143</v>
      </c>
      <c r="C57" s="98" t="s">
        <v>746</v>
      </c>
      <c r="D57" s="75" t="s">
        <v>747</v>
      </c>
      <c r="E57" s="102" t="s">
        <v>778</v>
      </c>
    </row>
    <row r="58" spans="1:5" s="103" customFormat="1" ht="39.6">
      <c r="A58" s="106" t="s">
        <v>144</v>
      </c>
      <c r="B58" s="33" t="s">
        <v>145</v>
      </c>
      <c r="C58" s="98" t="s">
        <v>746</v>
      </c>
      <c r="D58" s="83" t="s">
        <v>747</v>
      </c>
      <c r="E58" s="102" t="s">
        <v>779</v>
      </c>
    </row>
    <row r="59" spans="1:5" s="103" customFormat="1" ht="53.45" customHeight="1">
      <c r="A59" s="106" t="s">
        <v>146</v>
      </c>
      <c r="B59" s="33" t="s">
        <v>147</v>
      </c>
      <c r="C59" s="98" t="s">
        <v>746</v>
      </c>
      <c r="D59" s="83" t="s">
        <v>747</v>
      </c>
      <c r="E59" s="102" t="s">
        <v>780</v>
      </c>
    </row>
    <row r="60" spans="1:5" s="103" customFormat="1" ht="59.1" customHeight="1">
      <c r="A60" s="106" t="s">
        <v>148</v>
      </c>
      <c r="B60" s="33" t="s">
        <v>149</v>
      </c>
      <c r="C60" s="101" t="s">
        <v>771</v>
      </c>
      <c r="D60" s="75" t="s">
        <v>781</v>
      </c>
      <c r="E60" s="102" t="s">
        <v>782</v>
      </c>
    </row>
    <row r="61" spans="1:5" s="103" customFormat="1" ht="74.099999999999994" customHeight="1">
      <c r="A61" s="106" t="s">
        <v>150</v>
      </c>
      <c r="B61" s="33" t="s">
        <v>151</v>
      </c>
      <c r="C61" s="101" t="s">
        <v>771</v>
      </c>
      <c r="D61" s="83" t="s">
        <v>783</v>
      </c>
      <c r="E61" s="102" t="s">
        <v>784</v>
      </c>
    </row>
    <row r="62" spans="1:5" s="103" customFormat="1" ht="63.6" customHeight="1">
      <c r="A62" s="106" t="s">
        <v>152</v>
      </c>
      <c r="B62" s="33" t="s">
        <v>153</v>
      </c>
      <c r="C62" s="101" t="s">
        <v>771</v>
      </c>
      <c r="D62" s="83" t="s">
        <v>785</v>
      </c>
      <c r="E62" s="102" t="s">
        <v>786</v>
      </c>
    </row>
    <row r="63" spans="1:5" s="103" customFormat="1" ht="57.95">
      <c r="A63" s="106" t="s">
        <v>154</v>
      </c>
      <c r="B63" s="33" t="s">
        <v>155</v>
      </c>
      <c r="C63" s="101" t="s">
        <v>771</v>
      </c>
      <c r="D63" s="75" t="s">
        <v>787</v>
      </c>
      <c r="E63" s="102" t="s">
        <v>788</v>
      </c>
    </row>
    <row r="64" spans="1:5" s="103" customFormat="1" ht="39.6">
      <c r="A64" s="106" t="s">
        <v>156</v>
      </c>
      <c r="B64" s="33" t="s">
        <v>157</v>
      </c>
      <c r="C64" s="101" t="s">
        <v>771</v>
      </c>
      <c r="D64" s="75" t="s">
        <v>742</v>
      </c>
      <c r="E64" s="102" t="s">
        <v>789</v>
      </c>
    </row>
    <row r="65" spans="1:5" s="103" customFormat="1" ht="65.45">
      <c r="A65" s="106" t="s">
        <v>159</v>
      </c>
      <c r="B65" s="33" t="s">
        <v>160</v>
      </c>
      <c r="C65" s="101" t="s">
        <v>771</v>
      </c>
      <c r="D65" s="75" t="s">
        <v>790</v>
      </c>
      <c r="E65" s="102" t="s">
        <v>791</v>
      </c>
    </row>
    <row r="66" spans="1:5" s="103" customFormat="1" ht="65.45">
      <c r="A66" s="106" t="s">
        <v>161</v>
      </c>
      <c r="B66" s="33" t="s">
        <v>162</v>
      </c>
      <c r="C66" s="101" t="s">
        <v>771</v>
      </c>
      <c r="D66" s="75" t="s">
        <v>792</v>
      </c>
      <c r="E66" s="102" t="s">
        <v>793</v>
      </c>
    </row>
    <row r="67" spans="1:5" s="103" customFormat="1" ht="65.45">
      <c r="A67" s="106" t="s">
        <v>163</v>
      </c>
      <c r="B67" s="33" t="s">
        <v>164</v>
      </c>
      <c r="C67" s="101" t="s">
        <v>771</v>
      </c>
      <c r="D67" s="75" t="s">
        <v>794</v>
      </c>
      <c r="E67" s="102" t="s">
        <v>795</v>
      </c>
    </row>
    <row r="68" spans="1:5" s="103" customFormat="1" ht="52.5">
      <c r="A68" s="106" t="s">
        <v>165</v>
      </c>
      <c r="B68" s="33" t="s">
        <v>166</v>
      </c>
      <c r="C68" s="101" t="s">
        <v>771</v>
      </c>
      <c r="D68" s="75" t="s">
        <v>796</v>
      </c>
      <c r="E68" s="102" t="s">
        <v>797</v>
      </c>
    </row>
    <row r="69" spans="1:5" s="103" customFormat="1" ht="52.5">
      <c r="A69" s="106" t="s">
        <v>167</v>
      </c>
      <c r="B69" s="33" t="s">
        <v>168</v>
      </c>
      <c r="C69" s="101" t="s">
        <v>771</v>
      </c>
      <c r="D69" s="75" t="s">
        <v>798</v>
      </c>
      <c r="E69" s="102" t="s">
        <v>797</v>
      </c>
    </row>
    <row r="70" spans="1:5" s="103" customFormat="1" ht="53.1" customHeight="1">
      <c r="A70" s="106" t="s">
        <v>169</v>
      </c>
      <c r="B70" s="33" t="s">
        <v>170</v>
      </c>
      <c r="C70" s="101" t="s">
        <v>771</v>
      </c>
      <c r="D70" s="75" t="s">
        <v>799</v>
      </c>
      <c r="E70" s="102" t="s">
        <v>800</v>
      </c>
    </row>
    <row r="71" spans="1:5" s="103" customFormat="1" ht="63.6" customHeight="1">
      <c r="A71" s="106" t="s">
        <v>171</v>
      </c>
      <c r="B71" s="33" t="s">
        <v>172</v>
      </c>
      <c r="C71" s="101" t="s">
        <v>771</v>
      </c>
      <c r="D71" s="75" t="s">
        <v>801</v>
      </c>
      <c r="E71" s="102" t="s">
        <v>802</v>
      </c>
    </row>
    <row r="74" spans="1:5" s="2" customFormat="1">
      <c r="A74" s="24" t="s">
        <v>803</v>
      </c>
      <c r="B74" s="34"/>
      <c r="C74" s="62" t="s">
        <v>739</v>
      </c>
      <c r="D74" s="63" t="s">
        <v>740</v>
      </c>
      <c r="E74" s="64" t="s">
        <v>1</v>
      </c>
    </row>
    <row r="75" spans="1:5" s="2" customFormat="1" ht="39">
      <c r="A75" s="65" t="s">
        <v>174</v>
      </c>
      <c r="B75" s="73" t="s">
        <v>175</v>
      </c>
      <c r="C75" s="32" t="s">
        <v>804</v>
      </c>
      <c r="D75" s="10" t="s">
        <v>805</v>
      </c>
      <c r="E75" s="31" t="s">
        <v>806</v>
      </c>
    </row>
    <row r="76" spans="1:5" s="2" customFormat="1" ht="57.95">
      <c r="A76" s="65" t="s">
        <v>176</v>
      </c>
      <c r="B76" s="73" t="s">
        <v>177</v>
      </c>
      <c r="C76" s="32" t="s">
        <v>804</v>
      </c>
      <c r="D76" s="10" t="s">
        <v>807</v>
      </c>
      <c r="E76" s="31" t="s">
        <v>808</v>
      </c>
    </row>
    <row r="77" spans="1:5" s="2" customFormat="1" ht="39">
      <c r="A77" s="65" t="s">
        <v>178</v>
      </c>
      <c r="B77" s="73" t="s">
        <v>809</v>
      </c>
      <c r="C77" s="32" t="s">
        <v>804</v>
      </c>
      <c r="D77" s="10" t="s">
        <v>810</v>
      </c>
      <c r="E77" s="31" t="s">
        <v>811</v>
      </c>
    </row>
    <row r="78" spans="1:5" s="2" customFormat="1" ht="26.1" customHeight="1">
      <c r="A78" s="65" t="s">
        <v>180</v>
      </c>
      <c r="B78" s="73" t="s">
        <v>812</v>
      </c>
      <c r="C78" s="32" t="s">
        <v>804</v>
      </c>
      <c r="D78" s="10" t="s">
        <v>805</v>
      </c>
      <c r="E78" s="31" t="s">
        <v>813</v>
      </c>
    </row>
    <row r="79" spans="1:5" s="2" customFormat="1" ht="39">
      <c r="A79" s="65" t="s">
        <v>182</v>
      </c>
      <c r="B79" s="73" t="s">
        <v>183</v>
      </c>
      <c r="C79" s="32" t="s">
        <v>804</v>
      </c>
      <c r="D79" s="10" t="s">
        <v>805</v>
      </c>
      <c r="E79" s="31" t="s">
        <v>814</v>
      </c>
    </row>
    <row r="80" spans="1:5" s="2" customFormat="1" ht="39">
      <c r="A80" s="65" t="s">
        <v>184</v>
      </c>
      <c r="B80" s="73" t="s">
        <v>185</v>
      </c>
      <c r="C80" s="32" t="s">
        <v>804</v>
      </c>
      <c r="D80" s="10" t="s">
        <v>815</v>
      </c>
      <c r="E80" s="31" t="s">
        <v>816</v>
      </c>
    </row>
    <row r="81" spans="1:5" s="2" customFormat="1" ht="39">
      <c r="A81" s="65" t="s">
        <v>186</v>
      </c>
      <c r="B81" s="73" t="s">
        <v>187</v>
      </c>
      <c r="C81" s="32" t="s">
        <v>804</v>
      </c>
      <c r="D81" s="10" t="s">
        <v>817</v>
      </c>
      <c r="E81" s="31" t="s">
        <v>818</v>
      </c>
    </row>
    <row r="82" spans="1:5" s="2" customFormat="1" ht="51.95">
      <c r="A82" s="65" t="s">
        <v>188</v>
      </c>
      <c r="B82" s="92" t="s">
        <v>189</v>
      </c>
      <c r="C82" s="32" t="s">
        <v>804</v>
      </c>
      <c r="D82" s="66" t="s">
        <v>805</v>
      </c>
      <c r="E82" s="31" t="s">
        <v>819</v>
      </c>
    </row>
    <row r="84" spans="1:5">
      <c r="A84" s="77"/>
      <c r="B84" s="77"/>
      <c r="C84" s="79"/>
      <c r="D84" s="78"/>
      <c r="E84" s="77"/>
    </row>
    <row r="85" spans="1:5">
      <c r="A85" s="24" t="s">
        <v>190</v>
      </c>
      <c r="B85" s="25"/>
      <c r="C85" s="27" t="s">
        <v>739</v>
      </c>
      <c r="D85" s="9" t="s">
        <v>740</v>
      </c>
      <c r="E85" s="26" t="s">
        <v>1</v>
      </c>
    </row>
    <row r="86" spans="1:5" ht="116.1">
      <c r="A86" s="65" t="s">
        <v>191</v>
      </c>
      <c r="B86" s="80" t="s">
        <v>192</v>
      </c>
      <c r="C86" s="74" t="s">
        <v>750</v>
      </c>
      <c r="D86" s="75" t="s">
        <v>820</v>
      </c>
      <c r="E86" s="76"/>
    </row>
    <row r="87" spans="1:5" ht="26.1">
      <c r="A87" s="65" t="s">
        <v>193</v>
      </c>
      <c r="B87" s="73" t="s">
        <v>194</v>
      </c>
      <c r="C87" s="74"/>
      <c r="D87" s="75"/>
      <c r="E87" s="76"/>
    </row>
    <row r="88" spans="1:5" ht="231.95">
      <c r="A88" s="65" t="s">
        <v>195</v>
      </c>
      <c r="B88" s="80" t="s">
        <v>196</v>
      </c>
      <c r="C88" s="74" t="s">
        <v>750</v>
      </c>
      <c r="D88" s="75" t="s">
        <v>821</v>
      </c>
      <c r="E88" s="76"/>
    </row>
    <row r="89" spans="1:5" ht="39">
      <c r="A89" s="65" t="s">
        <v>197</v>
      </c>
      <c r="B89" s="80" t="s">
        <v>198</v>
      </c>
      <c r="C89" s="74" t="s">
        <v>750</v>
      </c>
      <c r="D89" s="75"/>
      <c r="E89" s="76" t="s">
        <v>822</v>
      </c>
    </row>
    <row r="90" spans="1:5" ht="116.1">
      <c r="A90" s="65" t="s">
        <v>199</v>
      </c>
      <c r="B90" s="80" t="s">
        <v>200</v>
      </c>
      <c r="C90" s="74" t="s">
        <v>750</v>
      </c>
      <c r="D90" s="75" t="s">
        <v>823</v>
      </c>
      <c r="E90" s="76"/>
    </row>
    <row r="91" spans="1:5" ht="116.1">
      <c r="A91" s="65" t="s">
        <v>201</v>
      </c>
      <c r="B91" s="80" t="s">
        <v>202</v>
      </c>
      <c r="C91" s="74" t="s">
        <v>750</v>
      </c>
      <c r="D91" s="75" t="s">
        <v>824</v>
      </c>
      <c r="E91" s="76"/>
    </row>
    <row r="92" spans="1:5">
      <c r="A92" s="65" t="s">
        <v>203</v>
      </c>
      <c r="B92" s="80" t="s">
        <v>204</v>
      </c>
      <c r="C92" s="74" t="s">
        <v>825</v>
      </c>
      <c r="D92" s="75" t="s">
        <v>825</v>
      </c>
      <c r="E92" s="76" t="s">
        <v>826</v>
      </c>
    </row>
    <row r="93" spans="1:5">
      <c r="A93" s="65" t="s">
        <v>205</v>
      </c>
      <c r="B93" s="80" t="s">
        <v>206</v>
      </c>
      <c r="C93" s="74"/>
      <c r="D93" s="75"/>
      <c r="E93" s="76"/>
    </row>
    <row r="94" spans="1:5">
      <c r="A94" s="81"/>
      <c r="B94" s="82"/>
      <c r="C94" s="82"/>
      <c r="D94" s="83"/>
      <c r="E94" s="82"/>
    </row>
    <row r="95" spans="1:5">
      <c r="A95" s="81"/>
      <c r="B95" s="2"/>
      <c r="C95" s="2"/>
      <c r="D95" s="83"/>
      <c r="E95" s="2"/>
    </row>
    <row r="96" spans="1:5">
      <c r="A96" s="24" t="s">
        <v>207</v>
      </c>
      <c r="B96" s="34"/>
      <c r="C96" s="27" t="s">
        <v>739</v>
      </c>
      <c r="D96" s="9" t="s">
        <v>740</v>
      </c>
      <c r="E96" s="26" t="s">
        <v>1</v>
      </c>
    </row>
    <row r="97" spans="1:5">
      <c r="A97" s="65" t="s">
        <v>208</v>
      </c>
      <c r="B97" s="84" t="s">
        <v>209</v>
      </c>
      <c r="C97" s="74"/>
      <c r="D97" s="75"/>
      <c r="E97" s="76"/>
    </row>
    <row r="98" spans="1:5" ht="51.95">
      <c r="A98" s="65" t="s">
        <v>210</v>
      </c>
      <c r="B98" s="84" t="s">
        <v>211</v>
      </c>
      <c r="C98" s="74" t="s">
        <v>827</v>
      </c>
      <c r="D98" s="75" t="s">
        <v>828</v>
      </c>
      <c r="E98" s="76"/>
    </row>
    <row r="99" spans="1:5" ht="51.95">
      <c r="A99" s="65" t="s">
        <v>212</v>
      </c>
      <c r="B99" s="84" t="s">
        <v>213</v>
      </c>
      <c r="C99" s="74" t="s">
        <v>827</v>
      </c>
      <c r="D99" s="75" t="s">
        <v>829</v>
      </c>
      <c r="E99" s="76"/>
    </row>
    <row r="100" spans="1:5" ht="51.95">
      <c r="A100" s="111" t="s">
        <v>214</v>
      </c>
      <c r="B100" s="112" t="s">
        <v>215</v>
      </c>
      <c r="C100" s="113" t="s">
        <v>827</v>
      </c>
      <c r="D100" s="114" t="s">
        <v>830</v>
      </c>
      <c r="E100" s="115" t="s">
        <v>831</v>
      </c>
    </row>
    <row r="101" spans="1:5" ht="51.95">
      <c r="A101" s="65" t="s">
        <v>216</v>
      </c>
      <c r="B101" s="84" t="s">
        <v>217</v>
      </c>
      <c r="C101" s="74" t="s">
        <v>827</v>
      </c>
      <c r="D101" s="75" t="s">
        <v>832</v>
      </c>
      <c r="E101" s="76"/>
    </row>
    <row r="102" spans="1:5" ht="104.1">
      <c r="A102" s="65" t="s">
        <v>218</v>
      </c>
      <c r="B102" s="84" t="s">
        <v>219</v>
      </c>
      <c r="C102" s="74" t="s">
        <v>833</v>
      </c>
      <c r="D102" s="75" t="s">
        <v>834</v>
      </c>
      <c r="E102" s="76"/>
    </row>
    <row r="103" spans="1:5">
      <c r="A103" s="65" t="s">
        <v>220</v>
      </c>
      <c r="B103" s="84" t="s">
        <v>221</v>
      </c>
      <c r="C103" s="74"/>
      <c r="D103" s="75"/>
      <c r="E103" s="76"/>
    </row>
    <row r="104" spans="1:5">
      <c r="A104" s="65" t="s">
        <v>222</v>
      </c>
      <c r="B104" s="84" t="s">
        <v>223</v>
      </c>
      <c r="C104" s="74"/>
      <c r="D104" s="75"/>
      <c r="E104" s="76"/>
    </row>
    <row r="105" spans="1:5" ht="51.95">
      <c r="A105" s="65" t="s">
        <v>224</v>
      </c>
      <c r="B105" s="84" t="s">
        <v>225</v>
      </c>
      <c r="C105" s="74" t="s">
        <v>827</v>
      </c>
      <c r="D105" s="75" t="s">
        <v>835</v>
      </c>
      <c r="E105" s="76"/>
    </row>
    <row r="106" spans="1:5" ht="72.599999999999994">
      <c r="A106" s="65" t="s">
        <v>226</v>
      </c>
      <c r="B106" s="72" t="s">
        <v>227</v>
      </c>
      <c r="C106" s="74" t="s">
        <v>827</v>
      </c>
      <c r="D106" s="75" t="s">
        <v>836</v>
      </c>
      <c r="E106" s="76"/>
    </row>
    <row r="107" spans="1:5" ht="78">
      <c r="A107" s="65" t="s">
        <v>228</v>
      </c>
      <c r="B107" s="72" t="s">
        <v>229</v>
      </c>
      <c r="C107" s="74" t="s">
        <v>827</v>
      </c>
      <c r="D107" s="75" t="s">
        <v>837</v>
      </c>
      <c r="E107" s="76"/>
    </row>
    <row r="108" spans="1:5">
      <c r="A108" s="65" t="s">
        <v>230</v>
      </c>
      <c r="B108" s="84" t="s">
        <v>231</v>
      </c>
      <c r="C108" s="74"/>
      <c r="D108" s="75"/>
      <c r="E108" s="76"/>
    </row>
    <row r="109" spans="1:5" ht="51.95">
      <c r="A109" s="65" t="s">
        <v>232</v>
      </c>
      <c r="B109" s="84" t="s">
        <v>233</v>
      </c>
      <c r="C109" s="74" t="s">
        <v>827</v>
      </c>
      <c r="D109" s="75" t="s">
        <v>838</v>
      </c>
      <c r="E109" s="76"/>
    </row>
    <row r="110" spans="1:5" ht="51.95">
      <c r="A110" s="65" t="s">
        <v>235</v>
      </c>
      <c r="B110" s="84" t="s">
        <v>236</v>
      </c>
      <c r="C110" s="74" t="s">
        <v>827</v>
      </c>
      <c r="D110" s="75" t="s">
        <v>839</v>
      </c>
      <c r="E110" s="76"/>
    </row>
    <row r="111" spans="1:5" ht="129.94999999999999">
      <c r="A111" s="65" t="s">
        <v>237</v>
      </c>
      <c r="B111" s="84" t="s">
        <v>238</v>
      </c>
      <c r="C111" s="74" t="s">
        <v>840</v>
      </c>
      <c r="D111" s="75" t="s">
        <v>841</v>
      </c>
      <c r="E111" s="76"/>
    </row>
    <row r="112" spans="1:5" ht="129.94999999999999">
      <c r="A112" s="65" t="s">
        <v>239</v>
      </c>
      <c r="B112" s="84" t="s">
        <v>240</v>
      </c>
      <c r="C112" s="74" t="s">
        <v>840</v>
      </c>
      <c r="D112" s="75" t="s">
        <v>842</v>
      </c>
      <c r="E112" s="76"/>
    </row>
    <row r="113" spans="1:5">
      <c r="A113" s="65" t="s">
        <v>241</v>
      </c>
      <c r="B113" s="84" t="s">
        <v>242</v>
      </c>
      <c r="C113" s="74"/>
      <c r="D113" s="75"/>
      <c r="E113" s="76"/>
    </row>
    <row r="114" spans="1:5">
      <c r="A114" s="65" t="s">
        <v>243</v>
      </c>
      <c r="B114" s="84" t="s">
        <v>244</v>
      </c>
      <c r="C114" s="74"/>
      <c r="D114" s="75"/>
      <c r="E114" s="76"/>
    </row>
    <row r="115" spans="1:5">
      <c r="A115" s="65" t="s">
        <v>245</v>
      </c>
      <c r="B115" s="84" t="s">
        <v>246</v>
      </c>
      <c r="C115" s="74"/>
      <c r="D115" s="75"/>
      <c r="E115" s="76"/>
    </row>
    <row r="116" spans="1:5" ht="26.1">
      <c r="A116" s="65" t="s">
        <v>247</v>
      </c>
      <c r="B116" s="72" t="s">
        <v>248</v>
      </c>
      <c r="C116" s="74"/>
      <c r="D116" s="73"/>
      <c r="E116" s="76"/>
    </row>
    <row r="117" spans="1:5" ht="39">
      <c r="A117" s="65" t="s">
        <v>249</v>
      </c>
      <c r="B117" s="72" t="s">
        <v>250</v>
      </c>
      <c r="C117" s="74"/>
      <c r="D117" s="73"/>
      <c r="E117" s="76"/>
    </row>
    <row r="118" spans="1:5">
      <c r="A118" s="65" t="s">
        <v>251</v>
      </c>
      <c r="B118" s="72" t="s">
        <v>252</v>
      </c>
      <c r="C118" s="74"/>
      <c r="D118" s="75"/>
      <c r="E118" s="76"/>
    </row>
    <row r="119" spans="1:5">
      <c r="A119" s="65" t="s">
        <v>253</v>
      </c>
      <c r="B119" s="72" t="s">
        <v>254</v>
      </c>
      <c r="C119" s="74"/>
      <c r="D119" s="75"/>
      <c r="E119" s="76"/>
    </row>
    <row r="120" spans="1:5" ht="51.95">
      <c r="A120" s="65" t="s">
        <v>255</v>
      </c>
      <c r="B120" s="72" t="s">
        <v>256</v>
      </c>
      <c r="C120" s="74" t="s">
        <v>827</v>
      </c>
      <c r="D120" s="75" t="s">
        <v>843</v>
      </c>
      <c r="E120" s="76"/>
    </row>
    <row r="121" spans="1:5">
      <c r="A121" s="65" t="s">
        <v>257</v>
      </c>
      <c r="B121" s="72" t="s">
        <v>258</v>
      </c>
      <c r="C121" s="74"/>
      <c r="D121" s="75"/>
      <c r="E121" s="76"/>
    </row>
    <row r="122" spans="1:5">
      <c r="A122" s="85" t="s">
        <v>259</v>
      </c>
      <c r="B122" s="86" t="s">
        <v>260</v>
      </c>
      <c r="C122" s="74"/>
      <c r="D122" s="75"/>
      <c r="E122" s="76"/>
    </row>
    <row r="123" spans="1:5">
      <c r="A123" s="85" t="s">
        <v>262</v>
      </c>
      <c r="B123" s="86" t="s">
        <v>263</v>
      </c>
      <c r="C123" s="74"/>
      <c r="D123" s="75"/>
      <c r="E123" s="76"/>
    </row>
    <row r="124" spans="1:5">
      <c r="A124" s="85" t="s">
        <v>264</v>
      </c>
      <c r="B124" s="86" t="s">
        <v>265</v>
      </c>
      <c r="C124" s="74"/>
      <c r="D124" s="75"/>
      <c r="E124" s="76"/>
    </row>
    <row r="125" spans="1:5">
      <c r="A125" s="85" t="s">
        <v>266</v>
      </c>
      <c r="B125" s="86" t="s">
        <v>267</v>
      </c>
      <c r="C125" s="74"/>
      <c r="D125" s="75"/>
      <c r="E125" s="76"/>
    </row>
    <row r="126" spans="1:5">
      <c r="A126" s="85" t="s">
        <v>268</v>
      </c>
      <c r="B126" s="86" t="s">
        <v>269</v>
      </c>
      <c r="C126" s="74"/>
      <c r="D126" s="75"/>
      <c r="E126" s="76"/>
    </row>
    <row r="127" spans="1:5" ht="65.099999999999994">
      <c r="A127" s="85" t="s">
        <v>270</v>
      </c>
      <c r="B127" s="87" t="s">
        <v>271</v>
      </c>
      <c r="C127" s="74"/>
      <c r="D127" s="75"/>
      <c r="E127" s="76"/>
    </row>
    <row r="128" spans="1:5" ht="39">
      <c r="A128" s="85" t="s">
        <v>272</v>
      </c>
      <c r="B128" s="87" t="s">
        <v>273</v>
      </c>
      <c r="C128" s="74"/>
      <c r="D128" s="75"/>
      <c r="E128" s="76"/>
    </row>
    <row r="129" spans="1:5" ht="39">
      <c r="A129" s="85" t="s">
        <v>274</v>
      </c>
      <c r="B129" s="87" t="s">
        <v>275</v>
      </c>
      <c r="C129" s="74"/>
      <c r="D129" s="75"/>
      <c r="E129" s="76"/>
    </row>
    <row r="130" spans="1:5" ht="26.1">
      <c r="A130" s="85" t="s">
        <v>276</v>
      </c>
      <c r="B130" s="87" t="s">
        <v>277</v>
      </c>
      <c r="C130" s="74"/>
      <c r="D130" s="75"/>
      <c r="E130" s="76"/>
    </row>
    <row r="131" spans="1:5">
      <c r="A131" s="2"/>
      <c r="B131" s="2"/>
      <c r="C131" s="2"/>
      <c r="E131" s="2"/>
    </row>
    <row r="132" spans="1:5">
      <c r="A132" s="2"/>
      <c r="B132" s="2"/>
      <c r="C132" s="2"/>
      <c r="E132" s="2"/>
    </row>
    <row r="133" spans="1:5">
      <c r="A133" s="22" t="s">
        <v>278</v>
      </c>
      <c r="B133" s="23"/>
      <c r="C133" s="41" t="s">
        <v>739</v>
      </c>
      <c r="D133" s="9" t="s">
        <v>740</v>
      </c>
      <c r="E133" s="40" t="s">
        <v>1</v>
      </c>
    </row>
    <row r="134" spans="1:5" ht="51.95">
      <c r="A134" s="65" t="s">
        <v>279</v>
      </c>
      <c r="B134" s="72" t="s">
        <v>280</v>
      </c>
      <c r="C134" s="74" t="s">
        <v>827</v>
      </c>
      <c r="D134" s="75" t="s">
        <v>835</v>
      </c>
      <c r="E134" s="76"/>
    </row>
    <row r="135" spans="1:5" ht="26.1">
      <c r="A135" s="65" t="s">
        <v>283</v>
      </c>
      <c r="B135" s="72" t="s">
        <v>284</v>
      </c>
      <c r="C135" s="74"/>
      <c r="D135" s="75"/>
      <c r="E135" s="76"/>
    </row>
    <row r="136" spans="1:5" ht="87">
      <c r="A136" s="65" t="s">
        <v>285</v>
      </c>
      <c r="B136" s="72" t="s">
        <v>286</v>
      </c>
      <c r="C136" s="74" t="s">
        <v>750</v>
      </c>
      <c r="D136" s="75" t="s">
        <v>844</v>
      </c>
      <c r="E136" s="76"/>
    </row>
    <row r="137" spans="1:5" ht="87">
      <c r="A137" s="65" t="s">
        <v>287</v>
      </c>
      <c r="B137" s="72" t="s">
        <v>288</v>
      </c>
      <c r="C137" s="74" t="s">
        <v>750</v>
      </c>
      <c r="D137" s="75" t="s">
        <v>845</v>
      </c>
      <c r="E137" s="76"/>
    </row>
    <row r="138" spans="1:5" ht="87">
      <c r="A138" s="65" t="s">
        <v>289</v>
      </c>
      <c r="B138" s="72" t="s">
        <v>290</v>
      </c>
      <c r="C138" s="74" t="s">
        <v>750</v>
      </c>
      <c r="D138" s="75" t="s">
        <v>846</v>
      </c>
      <c r="E138" s="76"/>
    </row>
    <row r="139" spans="1:5" ht="87">
      <c r="A139" s="65" t="s">
        <v>291</v>
      </c>
      <c r="B139" s="72" t="s">
        <v>292</v>
      </c>
      <c r="C139" s="74" t="s">
        <v>750</v>
      </c>
      <c r="D139" s="75" t="s">
        <v>847</v>
      </c>
      <c r="E139" s="76"/>
    </row>
    <row r="140" spans="1:5" ht="26.1">
      <c r="A140" s="65" t="s">
        <v>293</v>
      </c>
      <c r="B140" s="72" t="s">
        <v>294</v>
      </c>
      <c r="C140" s="74"/>
      <c r="D140" s="75"/>
      <c r="E140" s="76"/>
    </row>
    <row r="141" spans="1:5" ht="72.599999999999994">
      <c r="A141" s="65" t="s">
        <v>295</v>
      </c>
      <c r="B141" s="72" t="s">
        <v>296</v>
      </c>
      <c r="C141" s="74" t="s">
        <v>750</v>
      </c>
      <c r="D141" s="75" t="s">
        <v>848</v>
      </c>
      <c r="E141" s="76"/>
    </row>
    <row r="142" spans="1:5" ht="26.1">
      <c r="A142" s="65" t="s">
        <v>297</v>
      </c>
      <c r="B142" s="72" t="s">
        <v>298</v>
      </c>
      <c r="C142" s="74"/>
      <c r="D142" s="75"/>
      <c r="E142" s="76"/>
    </row>
    <row r="143" spans="1:5" ht="51.95">
      <c r="A143" s="65" t="s">
        <v>299</v>
      </c>
      <c r="B143" s="72" t="s">
        <v>300</v>
      </c>
      <c r="C143" s="74"/>
      <c r="D143" s="75"/>
      <c r="E143" s="76"/>
    </row>
    <row r="144" spans="1:5" ht="65.099999999999994">
      <c r="A144" s="65" t="s">
        <v>301</v>
      </c>
      <c r="B144" s="72" t="s">
        <v>302</v>
      </c>
      <c r="C144" s="74"/>
      <c r="D144" s="75"/>
      <c r="E144" s="76"/>
    </row>
    <row r="145" spans="1:5" ht="26.1">
      <c r="A145" s="65" t="s">
        <v>304</v>
      </c>
      <c r="B145" s="72" t="s">
        <v>305</v>
      </c>
      <c r="C145" s="74"/>
      <c r="D145" s="75"/>
      <c r="E145" s="76"/>
    </row>
    <row r="146" spans="1:5" ht="90.95">
      <c r="A146" s="65" t="s">
        <v>306</v>
      </c>
      <c r="B146" s="72" t="s">
        <v>307</v>
      </c>
      <c r="C146" s="74" t="s">
        <v>750</v>
      </c>
      <c r="D146" s="75" t="s">
        <v>849</v>
      </c>
      <c r="E146" s="76"/>
    </row>
    <row r="147" spans="1:5" ht="87">
      <c r="A147" s="65" t="s">
        <v>308</v>
      </c>
      <c r="B147" s="72" t="s">
        <v>309</v>
      </c>
      <c r="C147" s="74" t="s">
        <v>750</v>
      </c>
      <c r="D147" s="75" t="s">
        <v>850</v>
      </c>
      <c r="E147" s="76"/>
    </row>
    <row r="148" spans="1:5" ht="39">
      <c r="A148" s="65" t="s">
        <v>310</v>
      </c>
      <c r="B148" s="72" t="s">
        <v>311</v>
      </c>
      <c r="C148" s="74"/>
      <c r="D148" s="75"/>
      <c r="E148" s="76"/>
    </row>
    <row r="149" spans="1:5" ht="26.1">
      <c r="A149" s="65" t="s">
        <v>313</v>
      </c>
      <c r="B149" s="72" t="s">
        <v>314</v>
      </c>
      <c r="C149" s="74"/>
      <c r="D149" s="75"/>
      <c r="E149" s="76"/>
    </row>
    <row r="150" spans="1:5" ht="51.95">
      <c r="A150" s="65" t="s">
        <v>316</v>
      </c>
      <c r="B150" s="72" t="s">
        <v>317</v>
      </c>
      <c r="C150" s="74" t="s">
        <v>851</v>
      </c>
      <c r="D150" s="75" t="s">
        <v>852</v>
      </c>
      <c r="E150" s="76"/>
    </row>
    <row r="151" spans="1:5" ht="65.099999999999994">
      <c r="A151" s="65" t="s">
        <v>318</v>
      </c>
      <c r="B151" s="72" t="s">
        <v>319</v>
      </c>
      <c r="C151" s="74"/>
      <c r="D151" s="75"/>
      <c r="E151" s="76"/>
    </row>
    <row r="152" spans="1:5" ht="195">
      <c r="A152" s="85" t="s">
        <v>320</v>
      </c>
      <c r="B152" s="87" t="s">
        <v>321</v>
      </c>
      <c r="C152" s="74"/>
      <c r="D152" s="75"/>
      <c r="E152" s="76"/>
    </row>
    <row r="153" spans="1:5" ht="39">
      <c r="A153" s="85" t="s">
        <v>322</v>
      </c>
      <c r="B153" s="87" t="s">
        <v>323</v>
      </c>
      <c r="C153" s="74" t="s">
        <v>853</v>
      </c>
      <c r="D153" s="75" t="s">
        <v>854</v>
      </c>
      <c r="E153" s="76"/>
    </row>
    <row r="154" spans="1:5" ht="72.599999999999994">
      <c r="A154" s="85" t="s">
        <v>324</v>
      </c>
      <c r="B154" s="87" t="s">
        <v>325</v>
      </c>
      <c r="C154" s="74" t="s">
        <v>853</v>
      </c>
      <c r="D154" s="75" t="s">
        <v>855</v>
      </c>
      <c r="E154" s="76"/>
    </row>
    <row r="155" spans="1:5" ht="72.599999999999994">
      <c r="A155" s="85" t="s">
        <v>326</v>
      </c>
      <c r="B155" s="87" t="s">
        <v>327</v>
      </c>
      <c r="C155" s="74" t="s">
        <v>853</v>
      </c>
      <c r="D155" s="75" t="s">
        <v>856</v>
      </c>
      <c r="E155" s="76"/>
    </row>
    <row r="156" spans="1:5" ht="26.1">
      <c r="A156" s="85" t="s">
        <v>328</v>
      </c>
      <c r="B156" s="87" t="s">
        <v>329</v>
      </c>
      <c r="C156" s="74"/>
      <c r="D156" s="75"/>
      <c r="E156" s="76"/>
    </row>
    <row r="157" spans="1:5" ht="51.95">
      <c r="A157" s="85" t="s">
        <v>330</v>
      </c>
      <c r="B157" s="87" t="s">
        <v>331</v>
      </c>
      <c r="C157" s="74"/>
      <c r="D157" s="75"/>
      <c r="E157" s="76"/>
    </row>
    <row r="158" spans="1:5" ht="51.95">
      <c r="A158" s="85" t="s">
        <v>332</v>
      </c>
      <c r="B158" s="87" t="s">
        <v>333</v>
      </c>
      <c r="C158" s="74"/>
      <c r="D158" s="75"/>
      <c r="E158" s="76"/>
    </row>
    <row r="159" spans="1:5" ht="72.599999999999994">
      <c r="A159" s="85" t="s">
        <v>334</v>
      </c>
      <c r="B159" s="87" t="s">
        <v>335</v>
      </c>
      <c r="C159" s="74" t="s">
        <v>853</v>
      </c>
      <c r="D159" s="75" t="s">
        <v>857</v>
      </c>
      <c r="E159" s="76"/>
    </row>
    <row r="160" spans="1:5" ht="51.95">
      <c r="A160" s="85" t="s">
        <v>336</v>
      </c>
      <c r="B160" s="87" t="s">
        <v>337</v>
      </c>
      <c r="C160" s="74"/>
      <c r="D160" s="75"/>
      <c r="E160" s="76"/>
    </row>
    <row r="161" spans="1:5" ht="39">
      <c r="A161" s="85" t="s">
        <v>338</v>
      </c>
      <c r="B161" s="87" t="s">
        <v>339</v>
      </c>
      <c r="C161" s="74"/>
      <c r="D161" s="75"/>
      <c r="E161" s="76"/>
    </row>
    <row r="162" spans="1:5" ht="65.099999999999994">
      <c r="A162" s="85" t="s">
        <v>340</v>
      </c>
      <c r="B162" s="87" t="s">
        <v>341</v>
      </c>
      <c r="C162" s="74"/>
      <c r="D162" s="75"/>
      <c r="E162" s="76"/>
    </row>
    <row r="163" spans="1:5" ht="39">
      <c r="A163" s="85" t="s">
        <v>342</v>
      </c>
      <c r="B163" s="87" t="s">
        <v>343</v>
      </c>
      <c r="C163" s="74"/>
      <c r="D163" s="75"/>
      <c r="E163" s="76"/>
    </row>
    <row r="164" spans="1:5" ht="87">
      <c r="A164" s="85" t="s">
        <v>344</v>
      </c>
      <c r="B164" s="87" t="s">
        <v>345</v>
      </c>
      <c r="C164" s="74" t="s">
        <v>853</v>
      </c>
      <c r="D164" s="75" t="s">
        <v>858</v>
      </c>
      <c r="E164" s="76"/>
    </row>
    <row r="165" spans="1:5" ht="234">
      <c r="A165" s="85" t="s">
        <v>346</v>
      </c>
      <c r="B165" s="87" t="s">
        <v>347</v>
      </c>
      <c r="C165" s="74" t="s">
        <v>853</v>
      </c>
      <c r="D165" s="75" t="s">
        <v>859</v>
      </c>
      <c r="E165" s="76"/>
    </row>
    <row r="166" spans="1:5" ht="78">
      <c r="A166" s="85" t="s">
        <v>349</v>
      </c>
      <c r="B166" s="87" t="s">
        <v>350</v>
      </c>
      <c r="C166" s="74"/>
      <c r="D166" s="75"/>
      <c r="E166" s="76"/>
    </row>
    <row r="167" spans="1:5" ht="156">
      <c r="A167" s="85" t="s">
        <v>351</v>
      </c>
      <c r="B167" s="87" t="s">
        <v>352</v>
      </c>
      <c r="C167" s="74"/>
      <c r="D167" s="75"/>
      <c r="E167" s="76"/>
    </row>
    <row r="168" spans="1:5" ht="90.95">
      <c r="A168" s="85" t="s">
        <v>354</v>
      </c>
      <c r="B168" s="87" t="s">
        <v>355</v>
      </c>
      <c r="C168" s="74"/>
      <c r="D168" s="75"/>
      <c r="E168" s="76"/>
    </row>
    <row r="169" spans="1:5" ht="26.1">
      <c r="A169" s="85" t="s">
        <v>357</v>
      </c>
      <c r="B169" s="87" t="s">
        <v>358</v>
      </c>
      <c r="C169" s="74"/>
      <c r="D169" s="75"/>
      <c r="E169" s="76"/>
    </row>
    <row r="170" spans="1:5" ht="26.1">
      <c r="A170" s="85" t="s">
        <v>359</v>
      </c>
      <c r="B170" s="87" t="s">
        <v>360</v>
      </c>
      <c r="C170" s="74"/>
      <c r="D170" s="75"/>
      <c r="E170" s="76"/>
    </row>
    <row r="171" spans="1:5" ht="260.10000000000002">
      <c r="A171" s="85" t="s">
        <v>361</v>
      </c>
      <c r="B171" s="87" t="s">
        <v>362</v>
      </c>
      <c r="C171" s="74" t="s">
        <v>853</v>
      </c>
      <c r="D171" s="75" t="s">
        <v>860</v>
      </c>
      <c r="E171" s="76"/>
    </row>
    <row r="172" spans="1:5" ht="87">
      <c r="A172" s="85" t="s">
        <v>363</v>
      </c>
      <c r="B172" s="87" t="s">
        <v>364</v>
      </c>
      <c r="C172" s="74" t="s">
        <v>853</v>
      </c>
      <c r="D172" s="75" t="s">
        <v>861</v>
      </c>
      <c r="E172" s="76"/>
    </row>
    <row r="173" spans="1:5" ht="117">
      <c r="A173" s="85" t="s">
        <v>365</v>
      </c>
      <c r="B173" s="87" t="s">
        <v>366</v>
      </c>
      <c r="C173" s="74"/>
      <c r="D173" s="75"/>
      <c r="E173" s="76"/>
    </row>
    <row r="174" spans="1:5" ht="117">
      <c r="A174" s="85" t="s">
        <v>367</v>
      </c>
      <c r="B174" s="87" t="s">
        <v>368</v>
      </c>
      <c r="C174" s="74"/>
      <c r="D174" s="75"/>
      <c r="E174" s="76"/>
    </row>
    <row r="175" spans="1:5" ht="87">
      <c r="A175" s="85" t="s">
        <v>369</v>
      </c>
      <c r="B175" s="87" t="s">
        <v>370</v>
      </c>
      <c r="C175" s="74" t="s">
        <v>853</v>
      </c>
      <c r="D175" s="75" t="s">
        <v>862</v>
      </c>
      <c r="E175" s="76"/>
    </row>
    <row r="176" spans="1:5" ht="65.099999999999994">
      <c r="A176" s="85" t="s">
        <v>371</v>
      </c>
      <c r="B176" s="87" t="s">
        <v>372</v>
      </c>
      <c r="C176" s="74"/>
      <c r="D176" s="75"/>
      <c r="E176" s="76"/>
    </row>
    <row r="177" spans="1:5" ht="26.1">
      <c r="A177" s="85" t="s">
        <v>373</v>
      </c>
      <c r="B177" s="87" t="s">
        <v>374</v>
      </c>
      <c r="C177" s="74"/>
      <c r="D177" s="75"/>
      <c r="E177" s="76"/>
    </row>
    <row r="178" spans="1:5" ht="143.1">
      <c r="A178" s="85" t="s">
        <v>375</v>
      </c>
      <c r="B178" s="87" t="s">
        <v>376</v>
      </c>
      <c r="C178" s="74" t="s">
        <v>853</v>
      </c>
      <c r="D178" s="75" t="s">
        <v>863</v>
      </c>
      <c r="E178" s="76"/>
    </row>
    <row r="179" spans="1:5" ht="26.1">
      <c r="A179" s="85" t="s">
        <v>377</v>
      </c>
      <c r="B179" s="87" t="s">
        <v>378</v>
      </c>
      <c r="C179" s="74"/>
      <c r="D179" s="75"/>
      <c r="E179" s="76"/>
    </row>
    <row r="180" spans="1:5" ht="87">
      <c r="A180" s="85" t="s">
        <v>379</v>
      </c>
      <c r="B180" s="87" t="s">
        <v>380</v>
      </c>
      <c r="C180" s="74" t="s">
        <v>853</v>
      </c>
      <c r="D180" s="75" t="s">
        <v>864</v>
      </c>
      <c r="E180" s="76"/>
    </row>
    <row r="181" spans="1:5" ht="26.1">
      <c r="A181" s="85" t="s">
        <v>381</v>
      </c>
      <c r="B181" s="87" t="s">
        <v>382</v>
      </c>
      <c r="C181" s="74"/>
      <c r="D181" s="75"/>
      <c r="E181" s="76"/>
    </row>
    <row r="182" spans="1:5" ht="26.1">
      <c r="A182" s="85" t="s">
        <v>383</v>
      </c>
      <c r="B182" s="87" t="s">
        <v>384</v>
      </c>
      <c r="C182" s="74"/>
      <c r="D182" s="75"/>
      <c r="E182" s="76"/>
    </row>
    <row r="183" spans="1:5" ht="72.599999999999994">
      <c r="A183" s="85" t="s">
        <v>385</v>
      </c>
      <c r="B183" s="87" t="s">
        <v>386</v>
      </c>
      <c r="C183" s="74" t="s">
        <v>853</v>
      </c>
      <c r="D183" s="75" t="s">
        <v>865</v>
      </c>
      <c r="E183" s="76"/>
    </row>
    <row r="184" spans="1:5" ht="87">
      <c r="A184" s="85" t="s">
        <v>387</v>
      </c>
      <c r="B184" s="87" t="s">
        <v>388</v>
      </c>
      <c r="C184" s="74" t="s">
        <v>853</v>
      </c>
      <c r="D184" s="75" t="s">
        <v>866</v>
      </c>
      <c r="E184" s="76"/>
    </row>
    <row r="185" spans="1:5" ht="78">
      <c r="A185" s="88" t="s">
        <v>389</v>
      </c>
      <c r="B185" s="89" t="s">
        <v>390</v>
      </c>
      <c r="C185" s="74"/>
      <c r="D185" s="75"/>
      <c r="E185" s="76"/>
    </row>
    <row r="186" spans="1:5" ht="156">
      <c r="A186" s="88" t="s">
        <v>391</v>
      </c>
      <c r="B186" s="89" t="s">
        <v>392</v>
      </c>
      <c r="C186" s="74"/>
      <c r="D186" s="75"/>
      <c r="E186" s="76"/>
    </row>
    <row r="187" spans="1:5" ht="117">
      <c r="A187" s="88" t="s">
        <v>393</v>
      </c>
      <c r="B187" s="89" t="s">
        <v>394</v>
      </c>
      <c r="C187" s="74"/>
      <c r="D187" s="75"/>
      <c r="E187" s="76"/>
    </row>
    <row r="188" spans="1:5" ht="117">
      <c r="A188" s="90" t="s">
        <v>395</v>
      </c>
      <c r="B188" s="91" t="s">
        <v>396</v>
      </c>
      <c r="C188" s="74"/>
      <c r="D188" s="75"/>
      <c r="E188" s="76"/>
    </row>
    <row r="189" spans="1:5" ht="117">
      <c r="A189" s="90" t="s">
        <v>397</v>
      </c>
      <c r="B189" s="91" t="s">
        <v>398</v>
      </c>
      <c r="C189" s="74"/>
      <c r="D189" s="75"/>
      <c r="E189" s="76"/>
    </row>
    <row r="190" spans="1:5">
      <c r="A190" s="2"/>
      <c r="B190" s="2"/>
      <c r="C190" s="2"/>
      <c r="E190" s="2"/>
    </row>
    <row r="191" spans="1:5">
      <c r="A191" s="2"/>
      <c r="B191" s="2"/>
      <c r="C191" s="2"/>
      <c r="E191" s="2"/>
    </row>
    <row r="192" spans="1:5">
      <c r="A192" s="22" t="s">
        <v>399</v>
      </c>
      <c r="B192" s="23"/>
      <c r="C192" s="41" t="s">
        <v>739</v>
      </c>
      <c r="D192" s="9" t="s">
        <v>740</v>
      </c>
      <c r="E192" s="40" t="s">
        <v>1</v>
      </c>
    </row>
    <row r="193" spans="1:5">
      <c r="A193" s="65" t="s">
        <v>400</v>
      </c>
      <c r="B193" s="72" t="s">
        <v>401</v>
      </c>
      <c r="C193" s="74"/>
      <c r="D193" s="72"/>
      <c r="E193" s="76"/>
    </row>
    <row r="194" spans="1:5">
      <c r="A194" s="65" t="s">
        <v>403</v>
      </c>
      <c r="B194" s="72" t="s">
        <v>404</v>
      </c>
      <c r="C194" s="74"/>
      <c r="D194" s="72"/>
      <c r="E194" s="76"/>
    </row>
    <row r="195" spans="1:5" ht="39">
      <c r="A195" s="65" t="s">
        <v>405</v>
      </c>
      <c r="B195" s="72" t="s">
        <v>406</v>
      </c>
      <c r="C195" s="74"/>
      <c r="D195" s="72"/>
      <c r="E195" s="76"/>
    </row>
    <row r="196" spans="1:5" ht="26.1">
      <c r="A196" s="65" t="s">
        <v>407</v>
      </c>
      <c r="B196" s="72" t="s">
        <v>408</v>
      </c>
      <c r="C196" s="74"/>
      <c r="D196" s="75"/>
      <c r="E196" s="76"/>
    </row>
    <row r="197" spans="1:5" ht="26.1">
      <c r="A197" s="65" t="s">
        <v>409</v>
      </c>
      <c r="B197" s="72" t="s">
        <v>410</v>
      </c>
      <c r="C197" s="74"/>
      <c r="D197" s="75"/>
      <c r="E197" s="76"/>
    </row>
    <row r="198" spans="1:5">
      <c r="A198" s="2"/>
      <c r="B198" s="2"/>
      <c r="C198" s="2"/>
      <c r="E198" s="2"/>
    </row>
    <row r="199" spans="1:5">
      <c r="A199" s="2"/>
      <c r="B199" s="2"/>
      <c r="C199" s="2"/>
      <c r="E199" s="2"/>
    </row>
    <row r="200" spans="1:5">
      <c r="A200" s="22" t="s">
        <v>411</v>
      </c>
      <c r="B200" s="23"/>
      <c r="C200" s="41" t="s">
        <v>739</v>
      </c>
      <c r="D200" s="9" t="s">
        <v>740</v>
      </c>
      <c r="E200" s="40" t="s">
        <v>1</v>
      </c>
    </row>
    <row r="201" spans="1:5" ht="72.599999999999994">
      <c r="A201" s="65" t="s">
        <v>412</v>
      </c>
      <c r="B201" s="72" t="s">
        <v>413</v>
      </c>
      <c r="C201" s="74" t="s">
        <v>750</v>
      </c>
      <c r="D201" s="75" t="s">
        <v>867</v>
      </c>
      <c r="E201" s="76"/>
    </row>
    <row r="202" spans="1:5">
      <c r="A202" s="65" t="s">
        <v>414</v>
      </c>
      <c r="B202" s="72" t="s">
        <v>415</v>
      </c>
      <c r="C202" s="74"/>
      <c r="D202" s="75"/>
      <c r="E202" s="76"/>
    </row>
    <row r="203" spans="1:5" ht="72.599999999999994">
      <c r="A203" s="65" t="s">
        <v>416</v>
      </c>
      <c r="B203" s="72" t="s">
        <v>417</v>
      </c>
      <c r="C203" s="74" t="s">
        <v>750</v>
      </c>
      <c r="D203" s="75" t="s">
        <v>867</v>
      </c>
      <c r="E203" s="76" t="s">
        <v>868</v>
      </c>
    </row>
    <row r="204" spans="1:5" ht="72.599999999999994">
      <c r="A204" s="65" t="s">
        <v>418</v>
      </c>
      <c r="B204" s="72" t="s">
        <v>419</v>
      </c>
      <c r="C204" s="74" t="s">
        <v>750</v>
      </c>
      <c r="D204" s="75" t="s">
        <v>867</v>
      </c>
      <c r="E204" s="76" t="s">
        <v>868</v>
      </c>
    </row>
    <row r="205" spans="1:5" ht="72.599999999999994">
      <c r="A205" s="65" t="s">
        <v>420</v>
      </c>
      <c r="B205" s="72" t="s">
        <v>421</v>
      </c>
      <c r="C205" s="74" t="s">
        <v>750</v>
      </c>
      <c r="D205" s="75" t="s">
        <v>869</v>
      </c>
      <c r="E205" s="76"/>
    </row>
    <row r="206" spans="1:5" ht="72.599999999999994">
      <c r="A206" s="65" t="s">
        <v>422</v>
      </c>
      <c r="B206" s="72" t="s">
        <v>423</v>
      </c>
      <c r="C206" s="74" t="s">
        <v>750</v>
      </c>
      <c r="D206" s="75" t="s">
        <v>870</v>
      </c>
      <c r="E206" s="76"/>
    </row>
    <row r="207" spans="1:5" ht="65.099999999999994">
      <c r="A207" s="65" t="s">
        <v>424</v>
      </c>
      <c r="B207" s="72" t="s">
        <v>425</v>
      </c>
      <c r="C207" s="74"/>
      <c r="D207" s="75"/>
      <c r="E207" s="76"/>
    </row>
    <row r="208" spans="1:5">
      <c r="A208" s="65" t="s">
        <v>426</v>
      </c>
      <c r="B208" s="72" t="s">
        <v>427</v>
      </c>
      <c r="C208" s="74"/>
      <c r="D208" s="75"/>
      <c r="E208" s="76"/>
    </row>
    <row r="209" spans="1:5">
      <c r="A209" s="2"/>
      <c r="B209" s="2"/>
      <c r="C209" s="2"/>
      <c r="E209" s="2"/>
    </row>
    <row r="210" spans="1:5">
      <c r="A210" s="2"/>
      <c r="B210" s="2"/>
      <c r="C210" s="2"/>
      <c r="E210" s="2"/>
    </row>
    <row r="211" spans="1:5" s="2" customFormat="1">
      <c r="A211" s="22" t="s">
        <v>428</v>
      </c>
      <c r="B211" s="23"/>
      <c r="C211" s="62" t="s">
        <v>739</v>
      </c>
      <c r="D211" s="63" t="s">
        <v>740</v>
      </c>
      <c r="E211" s="64" t="s">
        <v>1</v>
      </c>
    </row>
    <row r="212" spans="1:5" s="2" customFormat="1" ht="78">
      <c r="A212" s="65" t="s">
        <v>429</v>
      </c>
      <c r="B212" s="72" t="s">
        <v>430</v>
      </c>
      <c r="C212" s="32" t="s">
        <v>871</v>
      </c>
      <c r="D212" s="10" t="s">
        <v>872</v>
      </c>
      <c r="E212" s="31" t="s">
        <v>873</v>
      </c>
    </row>
    <row r="213" spans="1:5" s="2" customFormat="1">
      <c r="A213" s="65" t="s">
        <v>431</v>
      </c>
      <c r="B213" s="72" t="s">
        <v>432</v>
      </c>
      <c r="C213" s="32"/>
      <c r="D213" s="10"/>
      <c r="E213" s="31"/>
    </row>
    <row r="214" spans="1:5" s="2" customFormat="1" ht="65.099999999999994">
      <c r="A214" s="65" t="s">
        <v>433</v>
      </c>
      <c r="B214" s="72" t="s">
        <v>434</v>
      </c>
      <c r="C214" s="32" t="s">
        <v>871</v>
      </c>
      <c r="D214" s="10" t="s">
        <v>874</v>
      </c>
      <c r="E214" s="31" t="s">
        <v>875</v>
      </c>
    </row>
    <row r="215" spans="1:5" s="2" customFormat="1">
      <c r="A215" s="65" t="s">
        <v>435</v>
      </c>
      <c r="B215" s="72" t="s">
        <v>436</v>
      </c>
      <c r="C215" s="32"/>
      <c r="D215" s="10"/>
      <c r="E215" s="31"/>
    </row>
    <row r="216" spans="1:5" s="2" customFormat="1" ht="90.95">
      <c r="A216" s="65" t="s">
        <v>437</v>
      </c>
      <c r="B216" s="72" t="s">
        <v>438</v>
      </c>
      <c r="C216" s="32" t="s">
        <v>871</v>
      </c>
      <c r="D216" s="10" t="s">
        <v>876</v>
      </c>
      <c r="E216" s="31" t="s">
        <v>877</v>
      </c>
    </row>
    <row r="217" spans="1:5" s="2" customFormat="1" ht="65.099999999999994">
      <c r="A217" s="65" t="s">
        <v>439</v>
      </c>
      <c r="B217" s="72" t="s">
        <v>440</v>
      </c>
      <c r="C217" s="32" t="s">
        <v>871</v>
      </c>
      <c r="D217" s="10" t="s">
        <v>878</v>
      </c>
      <c r="E217" s="31" t="s">
        <v>879</v>
      </c>
    </row>
    <row r="218" spans="1:5" s="2" customFormat="1" ht="65.099999999999994">
      <c r="A218" s="65" t="s">
        <v>441</v>
      </c>
      <c r="B218" s="72" t="s">
        <v>442</v>
      </c>
      <c r="C218" s="32" t="s">
        <v>871</v>
      </c>
      <c r="D218" s="10" t="s">
        <v>872</v>
      </c>
      <c r="E218" s="31" t="s">
        <v>880</v>
      </c>
    </row>
    <row r="219" spans="1:5" s="2" customFormat="1" ht="65.099999999999994">
      <c r="A219" s="65" t="s">
        <v>443</v>
      </c>
      <c r="B219" s="72" t="s">
        <v>444</v>
      </c>
      <c r="C219" s="32" t="s">
        <v>871</v>
      </c>
      <c r="D219" s="10" t="s">
        <v>872</v>
      </c>
      <c r="E219" s="31" t="s">
        <v>881</v>
      </c>
    </row>
    <row r="220" spans="1:5" s="2" customFormat="1" ht="65.099999999999994">
      <c r="A220" s="65" t="s">
        <v>445</v>
      </c>
      <c r="B220" s="72" t="s">
        <v>446</v>
      </c>
      <c r="C220" s="32" t="s">
        <v>871</v>
      </c>
      <c r="D220" s="10" t="s">
        <v>874</v>
      </c>
      <c r="E220" s="31" t="s">
        <v>882</v>
      </c>
    </row>
    <row r="221" spans="1:5" s="2" customFormat="1">
      <c r="A221" s="65" t="s">
        <v>447</v>
      </c>
      <c r="B221" s="72" t="s">
        <v>448</v>
      </c>
      <c r="C221" s="32"/>
      <c r="D221" s="94"/>
      <c r="E221" s="31"/>
    </row>
    <row r="222" spans="1:5" s="2" customFormat="1" ht="51.95">
      <c r="A222" s="65" t="s">
        <v>449</v>
      </c>
      <c r="B222" s="72" t="s">
        <v>450</v>
      </c>
      <c r="C222" s="32" t="s">
        <v>871</v>
      </c>
      <c r="D222" s="107" t="s">
        <v>872</v>
      </c>
      <c r="E222" s="108" t="s">
        <v>883</v>
      </c>
    </row>
    <row r="223" spans="1:5" s="2" customFormat="1" ht="51.95">
      <c r="A223" s="65" t="s">
        <v>451</v>
      </c>
      <c r="B223" s="72" t="s">
        <v>452</v>
      </c>
      <c r="C223" s="32" t="s">
        <v>871</v>
      </c>
      <c r="D223" s="32" t="s">
        <v>884</v>
      </c>
      <c r="E223" s="31"/>
    </row>
    <row r="224" spans="1:5" s="2" customFormat="1" ht="51.95">
      <c r="A224" s="65" t="s">
        <v>453</v>
      </c>
      <c r="B224" s="72" t="s">
        <v>454</v>
      </c>
      <c r="C224" s="32" t="s">
        <v>871</v>
      </c>
      <c r="D224" s="32" t="s">
        <v>885</v>
      </c>
      <c r="E224" s="31"/>
    </row>
    <row r="225" spans="1:5" s="2" customFormat="1" ht="51.95">
      <c r="A225" s="65" t="s">
        <v>455</v>
      </c>
      <c r="B225" s="72" t="s">
        <v>456</v>
      </c>
      <c r="C225" s="32" t="s">
        <v>871</v>
      </c>
      <c r="D225" s="32" t="s">
        <v>886</v>
      </c>
      <c r="E225" s="31"/>
    </row>
    <row r="226" spans="1:5" s="2" customFormat="1" ht="57.95">
      <c r="A226" s="65" t="s">
        <v>457</v>
      </c>
      <c r="B226" s="72" t="s">
        <v>458</v>
      </c>
      <c r="C226" s="32" t="s">
        <v>871</v>
      </c>
      <c r="D226" s="109" t="s">
        <v>887</v>
      </c>
      <c r="E226" s="31"/>
    </row>
    <row r="227" spans="1:5" s="2" customFormat="1" ht="51.95">
      <c r="A227" s="65" t="s">
        <v>459</v>
      </c>
      <c r="B227" s="72" t="s">
        <v>460</v>
      </c>
      <c r="C227" s="32" t="s">
        <v>871</v>
      </c>
      <c r="D227" s="10" t="s">
        <v>888</v>
      </c>
      <c r="E227" s="31"/>
    </row>
    <row r="228" spans="1:5" s="2" customFormat="1" ht="26.1">
      <c r="A228" s="65" t="s">
        <v>461</v>
      </c>
      <c r="B228" s="72" t="s">
        <v>462</v>
      </c>
      <c r="C228" s="32"/>
      <c r="D228" s="10"/>
      <c r="E228" s="31"/>
    </row>
    <row r="229" spans="1:5" s="2" customFormat="1" ht="57.95">
      <c r="A229" s="65" t="s">
        <v>463</v>
      </c>
      <c r="B229" s="72" t="s">
        <v>464</v>
      </c>
      <c r="C229" s="32" t="s">
        <v>871</v>
      </c>
      <c r="D229" s="10" t="s">
        <v>889</v>
      </c>
      <c r="E229" s="31"/>
    </row>
    <row r="230" spans="1:5" s="2" customFormat="1" ht="26.1">
      <c r="A230" s="65" t="s">
        <v>465</v>
      </c>
      <c r="B230" s="72" t="s">
        <v>466</v>
      </c>
      <c r="C230" s="32"/>
      <c r="D230" s="10"/>
      <c r="E230" s="31"/>
    </row>
    <row r="231" spans="1:5" s="2" customFormat="1">
      <c r="A231" s="65" t="s">
        <v>467</v>
      </c>
      <c r="B231" s="72" t="s">
        <v>468</v>
      </c>
      <c r="C231" s="32"/>
      <c r="D231" s="10"/>
      <c r="E231" s="31"/>
    </row>
    <row r="232" spans="1:5" s="2" customFormat="1" ht="51.95">
      <c r="A232" s="65" t="s">
        <v>469</v>
      </c>
      <c r="B232" s="72" t="s">
        <v>470</v>
      </c>
      <c r="C232" s="32" t="s">
        <v>871</v>
      </c>
      <c r="D232" s="10" t="s">
        <v>890</v>
      </c>
      <c r="E232" s="31"/>
    </row>
    <row r="233" spans="1:5" s="2" customFormat="1" ht="51.95">
      <c r="A233" s="65" t="s">
        <v>471</v>
      </c>
      <c r="B233" s="72" t="s">
        <v>472</v>
      </c>
      <c r="C233" s="32" t="s">
        <v>871</v>
      </c>
      <c r="D233" s="10" t="s">
        <v>890</v>
      </c>
      <c r="E233" s="31"/>
    </row>
    <row r="234" spans="1:5" s="2" customFormat="1" ht="26.1" customHeight="1">
      <c r="A234" s="65" t="s">
        <v>473</v>
      </c>
      <c r="B234" s="72" t="s">
        <v>474</v>
      </c>
      <c r="C234" s="32" t="s">
        <v>871</v>
      </c>
      <c r="D234" s="10" t="s">
        <v>890</v>
      </c>
      <c r="E234" s="31"/>
    </row>
    <row r="235" spans="1:5" s="2" customFormat="1" ht="51.95">
      <c r="A235" s="65" t="s">
        <v>475</v>
      </c>
      <c r="B235" s="72" t="s">
        <v>476</v>
      </c>
      <c r="C235" s="32" t="s">
        <v>871</v>
      </c>
      <c r="D235" s="10" t="s">
        <v>891</v>
      </c>
      <c r="E235" s="31"/>
    </row>
    <row r="236" spans="1:5" s="2" customFormat="1" ht="26.1" customHeight="1">
      <c r="A236" s="65" t="s">
        <v>477</v>
      </c>
      <c r="B236" s="72" t="s">
        <v>478</v>
      </c>
      <c r="C236" s="32"/>
      <c r="D236" s="10"/>
      <c r="E236" s="31"/>
    </row>
    <row r="237" spans="1:5" s="2" customFormat="1" ht="51.95">
      <c r="A237" s="65" t="s">
        <v>479</v>
      </c>
      <c r="B237" s="72" t="s">
        <v>480</v>
      </c>
      <c r="C237" s="32" t="s">
        <v>871</v>
      </c>
      <c r="D237" s="10" t="s">
        <v>892</v>
      </c>
      <c r="E237" s="31"/>
    </row>
    <row r="238" spans="1:5" s="2" customFormat="1" ht="51.95">
      <c r="A238" s="65" t="s">
        <v>481</v>
      </c>
      <c r="B238" s="110" t="s">
        <v>482</v>
      </c>
      <c r="C238" s="32" t="s">
        <v>871</v>
      </c>
      <c r="D238" s="10" t="s">
        <v>893</v>
      </c>
      <c r="E238" s="31"/>
    </row>
    <row r="239" spans="1:5" s="2" customFormat="1" ht="26.1">
      <c r="A239" s="65" t="s">
        <v>483</v>
      </c>
      <c r="B239" s="72" t="s">
        <v>484</v>
      </c>
      <c r="C239" s="32"/>
      <c r="D239" s="10" t="s">
        <v>894</v>
      </c>
      <c r="E239" s="31"/>
    </row>
    <row r="240" spans="1:5">
      <c r="A240" s="2"/>
      <c r="B240" s="2"/>
      <c r="C240" s="2"/>
      <c r="E240" s="2"/>
    </row>
    <row r="241" spans="1:5">
      <c r="A241" s="2"/>
      <c r="B241" s="2"/>
      <c r="C241" s="2"/>
      <c r="E241" s="2"/>
    </row>
    <row r="242" spans="1:5" s="2" customFormat="1">
      <c r="A242" s="22" t="s">
        <v>895</v>
      </c>
      <c r="B242" s="23"/>
      <c r="C242" s="62" t="s">
        <v>739</v>
      </c>
      <c r="D242" s="63" t="s">
        <v>740</v>
      </c>
      <c r="E242" s="64" t="s">
        <v>1</v>
      </c>
    </row>
    <row r="243" spans="1:5" s="2" customFormat="1" ht="68.45" customHeight="1">
      <c r="A243" s="65" t="s">
        <v>896</v>
      </c>
      <c r="B243" s="72" t="s">
        <v>897</v>
      </c>
      <c r="C243" s="32"/>
      <c r="D243" s="10"/>
      <c r="E243" s="31"/>
    </row>
    <row r="244" spans="1:5" s="2" customFormat="1" ht="26.1" customHeight="1">
      <c r="A244" s="65" t="s">
        <v>898</v>
      </c>
      <c r="B244" s="72" t="s">
        <v>489</v>
      </c>
      <c r="C244" s="32"/>
      <c r="D244" s="10"/>
      <c r="E244" s="31"/>
    </row>
    <row r="245" spans="1:5" s="2" customFormat="1" ht="76.5" customHeight="1">
      <c r="A245" s="65" t="s">
        <v>899</v>
      </c>
      <c r="B245" s="72" t="s">
        <v>491</v>
      </c>
      <c r="C245" s="32"/>
      <c r="D245" s="10"/>
      <c r="E245" s="31"/>
    </row>
    <row r="246" spans="1:5" s="2" customFormat="1" ht="56.45" customHeight="1">
      <c r="A246" s="65" t="s">
        <v>900</v>
      </c>
      <c r="B246" s="72" t="s">
        <v>493</v>
      </c>
      <c r="C246" s="32"/>
      <c r="D246" s="10" t="s">
        <v>901</v>
      </c>
      <c r="E246" s="31" t="s">
        <v>902</v>
      </c>
    </row>
    <row r="247" spans="1:5" s="2" customFormat="1" ht="90.6" customHeight="1">
      <c r="A247" s="65" t="s">
        <v>903</v>
      </c>
      <c r="B247" s="72" t="s">
        <v>904</v>
      </c>
      <c r="C247" s="32"/>
      <c r="D247" s="10"/>
      <c r="E247" s="31"/>
    </row>
    <row r="248" spans="1:5" s="2" customFormat="1" ht="107.45" customHeight="1">
      <c r="A248" s="85" t="s">
        <v>905</v>
      </c>
      <c r="B248" s="87" t="s">
        <v>906</v>
      </c>
      <c r="C248" s="32"/>
      <c r="D248" s="10" t="s">
        <v>907</v>
      </c>
      <c r="E248" s="31"/>
    </row>
    <row r="249" spans="1:5" s="2" customFormat="1" ht="26.1" customHeight="1">
      <c r="A249" s="85" t="s">
        <v>908</v>
      </c>
      <c r="B249" s="87" t="s">
        <v>909</v>
      </c>
      <c r="C249" s="32"/>
      <c r="D249" s="10"/>
      <c r="E249" s="31"/>
    </row>
    <row r="250" spans="1:5" s="2" customFormat="1" ht="26.1" customHeight="1">
      <c r="A250" s="85" t="s">
        <v>910</v>
      </c>
      <c r="B250" s="87" t="s">
        <v>911</v>
      </c>
      <c r="C250" s="32"/>
      <c r="D250" s="10"/>
      <c r="E250" s="31"/>
    </row>
    <row r="251" spans="1:5" s="2" customFormat="1" ht="39" customHeight="1">
      <c r="A251" s="88" t="s">
        <v>912</v>
      </c>
      <c r="B251" s="89" t="s">
        <v>913</v>
      </c>
      <c r="C251" s="32"/>
      <c r="D251" s="10"/>
      <c r="E251" s="31"/>
    </row>
    <row r="252" spans="1:5" s="2" customFormat="1" ht="65.099999999999994" customHeight="1">
      <c r="A252" s="88" t="s">
        <v>914</v>
      </c>
      <c r="B252" s="89" t="s">
        <v>915</v>
      </c>
      <c r="C252" s="32"/>
      <c r="D252" s="10"/>
      <c r="E252" s="31"/>
    </row>
    <row r="253" spans="1:5" s="2" customFormat="1" ht="26.1" customHeight="1">
      <c r="A253" s="88" t="s">
        <v>916</v>
      </c>
      <c r="B253" s="89" t="s">
        <v>917</v>
      </c>
      <c r="C253" s="32"/>
      <c r="D253" s="10"/>
      <c r="E253" s="31"/>
    </row>
    <row r="254" spans="1:5" s="2" customFormat="1" ht="26.1" customHeight="1"/>
    <row r="255" spans="1:5" s="2" customFormat="1">
      <c r="A255" s="22" t="s">
        <v>918</v>
      </c>
      <c r="B255" s="23"/>
      <c r="C255" s="62" t="s">
        <v>739</v>
      </c>
      <c r="D255" s="63" t="s">
        <v>740</v>
      </c>
      <c r="E255" s="64" t="s">
        <v>1</v>
      </c>
    </row>
    <row r="256" spans="1:5" s="2" customFormat="1" ht="26.1">
      <c r="A256" s="65" t="s">
        <v>919</v>
      </c>
      <c r="B256" s="72" t="s">
        <v>511</v>
      </c>
      <c r="C256" s="32"/>
      <c r="D256" s="10"/>
      <c r="E256" s="31"/>
    </row>
    <row r="257" spans="1:5" s="2" customFormat="1" ht="26.1">
      <c r="A257" s="65" t="s">
        <v>920</v>
      </c>
      <c r="B257" s="72" t="s">
        <v>514</v>
      </c>
      <c r="C257" s="32"/>
      <c r="D257" s="10"/>
      <c r="E257" s="31"/>
    </row>
    <row r="258" spans="1:5" s="2" customFormat="1" ht="26.1">
      <c r="A258" s="65" t="s">
        <v>921</v>
      </c>
      <c r="B258" s="72" t="s">
        <v>516</v>
      </c>
      <c r="C258" s="32"/>
      <c r="D258" s="10"/>
      <c r="E258" s="31"/>
    </row>
    <row r="259" spans="1:5" s="2" customFormat="1" ht="26.1" customHeight="1">
      <c r="A259" s="65" t="s">
        <v>922</v>
      </c>
      <c r="B259" s="72" t="s">
        <v>518</v>
      </c>
      <c r="C259" s="32"/>
      <c r="D259" s="10"/>
      <c r="E259" s="31"/>
    </row>
    <row r="260" spans="1:5" s="2" customFormat="1" ht="26.1" customHeight="1"/>
    <row r="261" spans="1:5">
      <c r="A261" s="68" t="s">
        <v>519</v>
      </c>
      <c r="B261" s="69"/>
      <c r="C261" s="70" t="s">
        <v>739</v>
      </c>
      <c r="D261" s="63" t="s">
        <v>740</v>
      </c>
      <c r="E261" s="71" t="s">
        <v>1</v>
      </c>
    </row>
    <row r="262" spans="1:5" ht="26.1">
      <c r="A262" s="28" t="s">
        <v>520</v>
      </c>
      <c r="B262" s="66" t="s">
        <v>521</v>
      </c>
      <c r="C262" s="32"/>
      <c r="D262" s="10"/>
      <c r="E262" s="31"/>
    </row>
    <row r="263" spans="1:5" ht="26.1">
      <c r="A263" s="28" t="s">
        <v>522</v>
      </c>
      <c r="B263" s="66" t="s">
        <v>523</v>
      </c>
      <c r="C263" s="32"/>
      <c r="D263" s="10"/>
      <c r="E263" s="31"/>
    </row>
    <row r="264" spans="1:5" ht="26.1">
      <c r="A264" s="28" t="s">
        <v>524</v>
      </c>
      <c r="B264" s="66" t="s">
        <v>525</v>
      </c>
      <c r="C264" s="32"/>
      <c r="D264" s="10"/>
      <c r="E264" s="31"/>
    </row>
    <row r="265" spans="1:5" ht="26.1">
      <c r="A265" s="28" t="s">
        <v>526</v>
      </c>
      <c r="B265" s="66" t="s">
        <v>527</v>
      </c>
      <c r="C265" s="32"/>
      <c r="D265" s="10"/>
      <c r="E265" s="31"/>
    </row>
    <row r="266" spans="1:5" ht="26.1">
      <c r="A266" s="28" t="s">
        <v>528</v>
      </c>
      <c r="B266" s="67" t="s">
        <v>529</v>
      </c>
      <c r="C266" s="32"/>
      <c r="D266" s="10"/>
      <c r="E266" s="31"/>
    </row>
    <row r="267" spans="1:5">
      <c r="A267" s="28" t="s">
        <v>530</v>
      </c>
      <c r="B267" s="67" t="s">
        <v>531</v>
      </c>
      <c r="C267" s="32"/>
      <c r="D267" s="10"/>
      <c r="E267" s="31"/>
    </row>
    <row r="268" spans="1:5" ht="26.1">
      <c r="A268" s="28" t="s">
        <v>532</v>
      </c>
      <c r="B268" s="67" t="s">
        <v>533</v>
      </c>
      <c r="C268" s="32"/>
      <c r="D268" s="10"/>
      <c r="E268" s="31"/>
    </row>
    <row r="269" spans="1:5">
      <c r="A269" s="28" t="s">
        <v>534</v>
      </c>
      <c r="B269" s="67" t="s">
        <v>535</v>
      </c>
      <c r="C269" s="32"/>
      <c r="D269" s="10"/>
      <c r="E269" s="31"/>
    </row>
    <row r="270" spans="1:5" ht="39">
      <c r="A270" s="28" t="s">
        <v>536</v>
      </c>
      <c r="B270" s="67" t="s">
        <v>537</v>
      </c>
      <c r="C270" s="32" t="s">
        <v>750</v>
      </c>
      <c r="D270" s="10"/>
      <c r="E270" s="31"/>
    </row>
    <row r="271" spans="1:5" ht="39">
      <c r="A271" s="28" t="s">
        <v>538</v>
      </c>
      <c r="B271" s="67" t="s">
        <v>539</v>
      </c>
      <c r="C271" s="32"/>
      <c r="D271" s="10"/>
      <c r="E271" s="31"/>
    </row>
    <row r="272" spans="1:5">
      <c r="A272" s="28" t="s">
        <v>540</v>
      </c>
      <c r="B272" s="67" t="s">
        <v>541</v>
      </c>
      <c r="C272" s="32"/>
      <c r="D272" s="10"/>
      <c r="E272" s="31"/>
    </row>
    <row r="273" spans="1:5" ht="26.1">
      <c r="A273" s="28" t="s">
        <v>542</v>
      </c>
      <c r="B273" s="67" t="s">
        <v>543</v>
      </c>
      <c r="C273" s="32"/>
      <c r="D273" s="10"/>
      <c r="E273" s="31"/>
    </row>
    <row r="274" spans="1:5" ht="39">
      <c r="A274" s="28" t="s">
        <v>544</v>
      </c>
      <c r="B274" s="67" t="s">
        <v>545</v>
      </c>
      <c r="C274" s="32" t="s">
        <v>750</v>
      </c>
      <c r="D274" s="10"/>
      <c r="E274" s="31"/>
    </row>
    <row r="275" spans="1:5">
      <c r="A275" s="28" t="s">
        <v>546</v>
      </c>
      <c r="B275" s="67" t="s">
        <v>547</v>
      </c>
      <c r="C275" s="32"/>
      <c r="D275" s="10"/>
      <c r="E275" s="31"/>
    </row>
    <row r="276" spans="1:5">
      <c r="A276" s="28" t="s">
        <v>548</v>
      </c>
      <c r="B276" s="66" t="s">
        <v>549</v>
      </c>
      <c r="C276" s="32"/>
      <c r="D276" s="10"/>
      <c r="E276" s="31"/>
    </row>
    <row r="277" spans="1:5">
      <c r="A277" s="28" t="s">
        <v>550</v>
      </c>
      <c r="B277" s="66" t="s">
        <v>551</v>
      </c>
      <c r="C277" s="32"/>
      <c r="D277" s="10"/>
      <c r="E277" s="31"/>
    </row>
    <row r="278" spans="1:5">
      <c r="A278" s="28" t="s">
        <v>552</v>
      </c>
      <c r="B278" s="66" t="s">
        <v>553</v>
      </c>
      <c r="C278" s="32"/>
      <c r="D278" s="10"/>
      <c r="E278" s="31"/>
    </row>
    <row r="279" spans="1:5">
      <c r="A279" s="28" t="s">
        <v>554</v>
      </c>
      <c r="B279" s="66" t="s">
        <v>555</v>
      </c>
      <c r="C279" s="32"/>
      <c r="D279" s="10"/>
      <c r="E279" s="31"/>
    </row>
    <row r="280" spans="1:5">
      <c r="A280" s="28" t="s">
        <v>556</v>
      </c>
      <c r="B280" s="67" t="s">
        <v>557</v>
      </c>
      <c r="C280" s="32"/>
      <c r="D280" s="10"/>
      <c r="E280" s="31"/>
    </row>
    <row r="281" spans="1:5" ht="26.1">
      <c r="A281" s="28" t="s">
        <v>558</v>
      </c>
      <c r="B281" s="67" t="s">
        <v>559</v>
      </c>
      <c r="C281" s="32"/>
      <c r="D281" s="10"/>
      <c r="E281" s="31"/>
    </row>
    <row r="282" spans="1:5" ht="26.1">
      <c r="A282" s="28" t="s">
        <v>560</v>
      </c>
      <c r="B282" s="67" t="s">
        <v>561</v>
      </c>
      <c r="C282" s="32"/>
      <c r="D282" s="10"/>
      <c r="E282" s="31"/>
    </row>
    <row r="283" spans="1:5">
      <c r="A283" s="28" t="s">
        <v>562</v>
      </c>
      <c r="B283" s="67" t="s">
        <v>563</v>
      </c>
      <c r="C283" s="32"/>
      <c r="D283" s="10"/>
      <c r="E283" s="31"/>
    </row>
    <row r="284" spans="1:5">
      <c r="A284" s="28" t="s">
        <v>564</v>
      </c>
      <c r="B284" s="67" t="s">
        <v>565</v>
      </c>
      <c r="C284" s="32"/>
      <c r="D284" s="10"/>
      <c r="E284" s="31"/>
    </row>
    <row r="285" spans="1:5">
      <c r="A285" s="28" t="s">
        <v>566</v>
      </c>
      <c r="B285" s="67" t="s">
        <v>567</v>
      </c>
      <c r="C285" s="32"/>
      <c r="D285" s="10"/>
      <c r="E285" s="31"/>
    </row>
    <row r="286" spans="1:5" ht="26.1">
      <c r="A286" s="28" t="s">
        <v>568</v>
      </c>
      <c r="B286" s="67" t="s">
        <v>569</v>
      </c>
      <c r="C286" s="32"/>
      <c r="D286" s="10"/>
      <c r="E286" s="31"/>
    </row>
    <row r="287" spans="1:5">
      <c r="A287" s="28" t="s">
        <v>570</v>
      </c>
      <c r="B287" s="67" t="s">
        <v>571</v>
      </c>
      <c r="C287" s="32"/>
      <c r="D287" s="10"/>
      <c r="E287" s="31"/>
    </row>
    <row r="288" spans="1:5" ht="90.95">
      <c r="A288" s="28" t="s">
        <v>572</v>
      </c>
      <c r="B288" s="66" t="s">
        <v>573</v>
      </c>
      <c r="C288" s="32"/>
      <c r="D288" s="10"/>
      <c r="E288" s="31"/>
    </row>
    <row r="289" spans="1:5">
      <c r="A289" s="28" t="s">
        <v>574</v>
      </c>
      <c r="B289" s="67" t="s">
        <v>575</v>
      </c>
      <c r="C289" s="32"/>
      <c r="D289" s="10"/>
      <c r="E289" s="31"/>
    </row>
    <row r="290" spans="1:5">
      <c r="A290" s="2"/>
      <c r="B290" s="2"/>
      <c r="C290" s="2"/>
      <c r="E290" s="2"/>
    </row>
    <row r="291" spans="1:5">
      <c r="A291" s="2"/>
      <c r="B291" s="2"/>
      <c r="C291" s="2"/>
      <c r="E291" s="2"/>
    </row>
    <row r="292" spans="1:5">
      <c r="A292" s="22" t="s">
        <v>576</v>
      </c>
      <c r="B292" s="23"/>
      <c r="C292" s="41" t="s">
        <v>739</v>
      </c>
      <c r="D292" s="9" t="s">
        <v>740</v>
      </c>
      <c r="E292" s="40" t="s">
        <v>1</v>
      </c>
    </row>
    <row r="293" spans="1:5" ht="26.1">
      <c r="A293" s="65" t="s">
        <v>577</v>
      </c>
      <c r="B293" s="72" t="s">
        <v>578</v>
      </c>
      <c r="C293" s="74"/>
      <c r="D293" s="75"/>
      <c r="E293" s="76"/>
    </row>
    <row r="294" spans="1:5" ht="26.1">
      <c r="A294" s="65" t="s">
        <v>579</v>
      </c>
      <c r="B294" s="72" t="s">
        <v>580</v>
      </c>
      <c r="C294" s="74"/>
      <c r="D294" s="75"/>
      <c r="E294" s="76"/>
    </row>
    <row r="295" spans="1:5" ht="39">
      <c r="A295" s="65" t="s">
        <v>581</v>
      </c>
      <c r="B295" s="72" t="s">
        <v>582</v>
      </c>
      <c r="C295" s="74"/>
      <c r="D295" s="75"/>
      <c r="E295" s="76"/>
    </row>
    <row r="296" spans="1:5" ht="26.1">
      <c r="A296" s="85" t="s">
        <v>583</v>
      </c>
      <c r="B296" s="87" t="s">
        <v>584</v>
      </c>
      <c r="C296" s="74"/>
      <c r="D296" s="75"/>
      <c r="E296" s="76"/>
    </row>
    <row r="297" spans="1:5" ht="26.1">
      <c r="A297" s="85" t="s">
        <v>586</v>
      </c>
      <c r="B297" s="87" t="s">
        <v>587</v>
      </c>
      <c r="C297" s="74"/>
      <c r="D297" s="75"/>
      <c r="E297" s="76"/>
    </row>
    <row r="298" spans="1:5" ht="51.95">
      <c r="A298" s="85" t="s">
        <v>588</v>
      </c>
      <c r="B298" s="87" t="s">
        <v>589</v>
      </c>
      <c r="C298" s="74"/>
      <c r="D298" s="75"/>
      <c r="E298" s="76"/>
    </row>
    <row r="299" spans="1:5">
      <c r="A299" s="2"/>
      <c r="B299" s="2"/>
      <c r="C299" s="2"/>
      <c r="E299" s="2"/>
    </row>
    <row r="300" spans="1:5">
      <c r="A300" s="2"/>
      <c r="B300" s="2"/>
      <c r="C300" s="2"/>
      <c r="E300" s="2"/>
    </row>
    <row r="301" spans="1:5">
      <c r="A301" s="22" t="s">
        <v>590</v>
      </c>
      <c r="B301" s="23"/>
      <c r="C301" s="41" t="s">
        <v>739</v>
      </c>
      <c r="D301" s="9" t="s">
        <v>740</v>
      </c>
      <c r="E301" s="40" t="s">
        <v>1</v>
      </c>
    </row>
    <row r="302" spans="1:5" ht="26.1">
      <c r="A302" s="65" t="s">
        <v>591</v>
      </c>
      <c r="B302" s="72" t="s">
        <v>592</v>
      </c>
      <c r="C302" s="74"/>
      <c r="D302" s="75"/>
      <c r="E302" s="76"/>
    </row>
    <row r="303" spans="1:5">
      <c r="A303" s="2"/>
      <c r="B303" s="2"/>
      <c r="C303" s="2"/>
      <c r="E303" s="2"/>
    </row>
    <row r="304" spans="1:5">
      <c r="A304" s="2"/>
      <c r="B304" s="2"/>
      <c r="C304" s="2"/>
      <c r="E304" s="2"/>
    </row>
    <row r="305" spans="1:5">
      <c r="A305" s="22" t="s">
        <v>593</v>
      </c>
      <c r="B305" s="23"/>
      <c r="C305" s="41" t="s">
        <v>739</v>
      </c>
      <c r="D305" s="9" t="s">
        <v>740</v>
      </c>
      <c r="E305" s="40" t="s">
        <v>1</v>
      </c>
    </row>
    <row r="306" spans="1:5">
      <c r="A306" s="65" t="s">
        <v>594</v>
      </c>
      <c r="B306" s="72" t="s">
        <v>595</v>
      </c>
      <c r="C306" s="74"/>
      <c r="D306" s="75"/>
      <c r="E306" s="76"/>
    </row>
    <row r="307" spans="1:5">
      <c r="A307" s="65" t="s">
        <v>596</v>
      </c>
      <c r="B307" s="72" t="s">
        <v>597</v>
      </c>
      <c r="C307" s="74"/>
      <c r="D307" s="75"/>
      <c r="E307" s="76"/>
    </row>
    <row r="308" spans="1:5" ht="26.1">
      <c r="A308" s="65" t="s">
        <v>598</v>
      </c>
      <c r="B308" s="72" t="s">
        <v>599</v>
      </c>
      <c r="C308" s="74"/>
      <c r="D308" s="75"/>
      <c r="E308" s="76"/>
    </row>
    <row r="309" spans="1:5" ht="51.95">
      <c r="A309" s="65" t="s">
        <v>600</v>
      </c>
      <c r="B309" s="72" t="s">
        <v>601</v>
      </c>
      <c r="C309" s="74"/>
      <c r="D309" s="75"/>
      <c r="E309" s="76"/>
    </row>
    <row r="310" spans="1:5" ht="39">
      <c r="A310" s="65" t="s">
        <v>602</v>
      </c>
      <c r="B310" s="72" t="s">
        <v>603</v>
      </c>
      <c r="C310" s="74"/>
      <c r="D310" s="75"/>
      <c r="E310" s="76"/>
    </row>
    <row r="311" spans="1:5">
      <c r="A311" s="65" t="s">
        <v>604</v>
      </c>
      <c r="B311" s="72" t="s">
        <v>605</v>
      </c>
      <c r="C311" s="74"/>
      <c r="D311" s="75"/>
      <c r="E311" s="76"/>
    </row>
    <row r="312" spans="1:5" ht="26.1">
      <c r="A312" s="65" t="s">
        <v>606</v>
      </c>
      <c r="B312" s="72" t="s">
        <v>607</v>
      </c>
      <c r="C312" s="74"/>
      <c r="D312" s="75"/>
      <c r="E312" s="76"/>
    </row>
    <row r="313" spans="1:5">
      <c r="A313" s="65" t="s">
        <v>608</v>
      </c>
      <c r="B313" s="72" t="s">
        <v>609</v>
      </c>
      <c r="C313" s="74"/>
      <c r="D313" s="75"/>
      <c r="E313" s="76"/>
    </row>
    <row r="314" spans="1:5" ht="39">
      <c r="A314" s="65" t="s">
        <v>610</v>
      </c>
      <c r="B314" s="72" t="s">
        <v>611</v>
      </c>
      <c r="C314" s="74"/>
      <c r="D314" s="75"/>
      <c r="E314" s="76"/>
    </row>
    <row r="315" spans="1:5">
      <c r="A315" s="65" t="s">
        <v>612</v>
      </c>
      <c r="B315" s="72" t="s">
        <v>613</v>
      </c>
      <c r="C315" s="74"/>
      <c r="D315" s="75"/>
      <c r="E315" s="76"/>
    </row>
    <row r="316" spans="1:5">
      <c r="A316" s="65" t="s">
        <v>614</v>
      </c>
      <c r="B316" s="72" t="s">
        <v>615</v>
      </c>
      <c r="C316" s="74"/>
      <c r="D316" s="75"/>
      <c r="E316" s="76"/>
    </row>
    <row r="317" spans="1:5" ht="26.1">
      <c r="A317" s="65" t="s">
        <v>616</v>
      </c>
      <c r="B317" s="72" t="s">
        <v>617</v>
      </c>
      <c r="C317" s="74"/>
      <c r="D317" s="75"/>
      <c r="E317" s="76"/>
    </row>
    <row r="318" spans="1:5" ht="246.95">
      <c r="A318" s="65" t="s">
        <v>618</v>
      </c>
      <c r="B318" s="72" t="s">
        <v>619</v>
      </c>
      <c r="C318" s="74"/>
      <c r="D318" s="75"/>
      <c r="E318" s="76"/>
    </row>
    <row r="319" spans="1:5">
      <c r="A319" s="65" t="s">
        <v>620</v>
      </c>
      <c r="B319" s="72" t="s">
        <v>621</v>
      </c>
      <c r="C319" s="74"/>
      <c r="D319" s="75"/>
      <c r="E319" s="76"/>
    </row>
    <row r="320" spans="1:5" ht="26.1">
      <c r="A320" s="65" t="s">
        <v>622</v>
      </c>
      <c r="B320" s="72" t="s">
        <v>623</v>
      </c>
      <c r="C320" s="74"/>
      <c r="D320" s="75"/>
      <c r="E320" s="76"/>
    </row>
    <row r="321" spans="1:5">
      <c r="A321" s="65" t="s">
        <v>624</v>
      </c>
      <c r="B321" s="72" t="s">
        <v>625</v>
      </c>
      <c r="C321" s="74"/>
      <c r="D321" s="75"/>
      <c r="E321" s="76"/>
    </row>
    <row r="322" spans="1:5" ht="26.1">
      <c r="A322" s="65" t="s">
        <v>626</v>
      </c>
      <c r="B322" s="72" t="s">
        <v>627</v>
      </c>
      <c r="C322" s="74"/>
      <c r="D322" s="75"/>
      <c r="E322" s="76"/>
    </row>
    <row r="323" spans="1:5">
      <c r="A323" s="65" t="s">
        <v>628</v>
      </c>
      <c r="B323" s="72" t="s">
        <v>629</v>
      </c>
      <c r="C323" s="74"/>
      <c r="D323" s="75"/>
      <c r="E323" s="76"/>
    </row>
    <row r="324" spans="1:5" s="2" customFormat="1">
      <c r="A324" s="65" t="s">
        <v>630</v>
      </c>
      <c r="B324" s="72" t="s">
        <v>631</v>
      </c>
      <c r="C324" s="74"/>
      <c r="D324" s="75"/>
      <c r="E324" s="76"/>
    </row>
    <row r="325" spans="1:5">
      <c r="A325" s="65" t="s">
        <v>632</v>
      </c>
      <c r="B325" s="72" t="s">
        <v>633</v>
      </c>
      <c r="C325" s="74"/>
      <c r="D325" s="75"/>
      <c r="E325" s="76"/>
    </row>
    <row r="326" spans="1:5" s="2" customFormat="1">
      <c r="A326" s="65" t="s">
        <v>634</v>
      </c>
      <c r="B326" s="72" t="s">
        <v>635</v>
      </c>
      <c r="C326" s="74"/>
      <c r="D326" s="75"/>
      <c r="E326" s="76"/>
    </row>
    <row r="327" spans="1:5" s="2" customFormat="1">
      <c r="A327" s="65" t="s">
        <v>636</v>
      </c>
      <c r="B327" s="72" t="s">
        <v>637</v>
      </c>
      <c r="C327" s="74"/>
      <c r="D327" s="75"/>
      <c r="E327" s="76"/>
    </row>
    <row r="328" spans="1:5" s="2" customFormat="1">
      <c r="A328" s="65" t="s">
        <v>638</v>
      </c>
      <c r="B328" s="72" t="s">
        <v>639</v>
      </c>
      <c r="C328" s="74"/>
      <c r="D328" s="75"/>
      <c r="E328" s="76"/>
    </row>
    <row r="329" spans="1:5" s="2" customFormat="1" ht="26.1">
      <c r="A329" s="65" t="s">
        <v>640</v>
      </c>
      <c r="B329" s="72" t="s">
        <v>641</v>
      </c>
      <c r="C329" s="74"/>
      <c r="D329" s="75"/>
      <c r="E329" s="76"/>
    </row>
    <row r="330" spans="1:5" s="2" customFormat="1">
      <c r="A330" s="65" t="s">
        <v>642</v>
      </c>
      <c r="B330" s="72" t="s">
        <v>643</v>
      </c>
      <c r="C330" s="74"/>
      <c r="D330" s="75"/>
      <c r="E330" s="76"/>
    </row>
    <row r="331" spans="1:5" s="2" customFormat="1">
      <c r="A331" s="65" t="s">
        <v>644</v>
      </c>
      <c r="B331" s="72" t="s">
        <v>260</v>
      </c>
      <c r="C331" s="74"/>
      <c r="D331" s="75"/>
      <c r="E331" s="76"/>
    </row>
    <row r="332" spans="1:5" s="2" customFormat="1">
      <c r="A332" s="65" t="s">
        <v>645</v>
      </c>
      <c r="B332" s="72" t="s">
        <v>646</v>
      </c>
      <c r="C332" s="74"/>
      <c r="D332" s="75"/>
      <c r="E332" s="76"/>
    </row>
    <row r="333" spans="1:5" s="2" customFormat="1" ht="26.1" customHeight="1">
      <c r="A333" s="65" t="s">
        <v>647</v>
      </c>
      <c r="B333" s="72" t="s">
        <v>648</v>
      </c>
      <c r="C333" s="74"/>
      <c r="D333" s="75"/>
      <c r="E333" s="76"/>
    </row>
    <row r="334" spans="1:5" s="2" customFormat="1" ht="26.1" customHeight="1">
      <c r="A334" s="65" t="s">
        <v>649</v>
      </c>
      <c r="B334" s="72" t="s">
        <v>650</v>
      </c>
      <c r="C334" s="74"/>
      <c r="D334" s="75"/>
      <c r="E334" s="76"/>
    </row>
    <row r="335" spans="1:5" ht="26.1">
      <c r="A335" s="65" t="s">
        <v>651</v>
      </c>
      <c r="B335" s="72" t="s">
        <v>652</v>
      </c>
      <c r="C335" s="74"/>
      <c r="D335" s="75"/>
      <c r="E335" s="76"/>
    </row>
    <row r="336" spans="1:5">
      <c r="A336" s="65" t="s">
        <v>653</v>
      </c>
      <c r="B336" s="72" t="s">
        <v>654</v>
      </c>
      <c r="C336" s="74"/>
      <c r="D336" s="75"/>
      <c r="E336" s="76"/>
    </row>
    <row r="337" spans="1:5">
      <c r="A337" s="65" t="s">
        <v>655</v>
      </c>
      <c r="B337" s="72" t="s">
        <v>656</v>
      </c>
      <c r="C337" s="74"/>
      <c r="D337" s="75"/>
      <c r="E337" s="76"/>
    </row>
    <row r="338" spans="1:5" ht="26.1">
      <c r="A338" s="65" t="s">
        <v>657</v>
      </c>
      <c r="B338" s="72" t="s">
        <v>658</v>
      </c>
      <c r="C338" s="74"/>
      <c r="D338" s="75"/>
      <c r="E338" s="76"/>
    </row>
    <row r="339" spans="1:5" ht="26.1">
      <c r="A339" s="65" t="s">
        <v>659</v>
      </c>
      <c r="B339" s="72" t="s">
        <v>660</v>
      </c>
      <c r="C339" s="74"/>
      <c r="D339" s="75"/>
      <c r="E339" s="76"/>
    </row>
    <row r="340" spans="1:5" ht="26.1">
      <c r="A340" s="65" t="s">
        <v>661</v>
      </c>
      <c r="B340" s="72" t="s">
        <v>662</v>
      </c>
      <c r="C340" s="74"/>
      <c r="D340" s="75"/>
      <c r="E340" s="76"/>
    </row>
    <row r="341" spans="1:5" ht="26.1">
      <c r="A341" s="65" t="s">
        <v>661</v>
      </c>
      <c r="B341" s="72" t="s">
        <v>665</v>
      </c>
      <c r="C341" s="74"/>
      <c r="D341" s="75"/>
      <c r="E341" s="76"/>
    </row>
    <row r="342" spans="1:5">
      <c r="A342" s="2"/>
      <c r="B342" s="2"/>
      <c r="C342" s="2"/>
      <c r="E342" s="2"/>
    </row>
    <row r="343" spans="1:5">
      <c r="A343" s="2"/>
      <c r="B343" s="2"/>
      <c r="C343" s="2"/>
      <c r="E343" s="2"/>
    </row>
    <row r="344" spans="1:5">
      <c r="A344" s="22" t="s">
        <v>666</v>
      </c>
      <c r="B344" s="23"/>
      <c r="C344" s="41" t="s">
        <v>739</v>
      </c>
      <c r="D344" s="9" t="s">
        <v>740</v>
      </c>
      <c r="E344" s="40" t="s">
        <v>1</v>
      </c>
    </row>
    <row r="345" spans="1:5" s="2" customFormat="1" ht="39">
      <c r="A345" s="65" t="s">
        <v>667</v>
      </c>
      <c r="B345" s="73" t="s">
        <v>175</v>
      </c>
      <c r="C345" s="74"/>
      <c r="D345" s="10" t="s">
        <v>805</v>
      </c>
      <c r="E345" s="31" t="s">
        <v>806</v>
      </c>
    </row>
    <row r="346" spans="1:5" s="2" customFormat="1" ht="57.95">
      <c r="A346" s="65" t="s">
        <v>668</v>
      </c>
      <c r="B346" s="73" t="s">
        <v>177</v>
      </c>
      <c r="C346" s="74"/>
      <c r="D346" s="10" t="s">
        <v>807</v>
      </c>
      <c r="E346" s="31" t="s">
        <v>808</v>
      </c>
    </row>
    <row r="347" spans="1:5" s="2" customFormat="1" ht="39">
      <c r="A347" s="65" t="s">
        <v>669</v>
      </c>
      <c r="B347" s="73" t="s">
        <v>179</v>
      </c>
      <c r="C347" s="74"/>
      <c r="D347" s="10" t="s">
        <v>810</v>
      </c>
      <c r="E347" s="31" t="s">
        <v>811</v>
      </c>
    </row>
    <row r="348" spans="1:5" s="2" customFormat="1" ht="26.1" customHeight="1">
      <c r="A348" s="65" t="s">
        <v>670</v>
      </c>
      <c r="B348" s="73" t="s">
        <v>181</v>
      </c>
      <c r="C348" s="74"/>
      <c r="D348" s="10" t="s">
        <v>805</v>
      </c>
      <c r="E348" s="31" t="s">
        <v>813</v>
      </c>
    </row>
    <row r="349" spans="1:5" s="2" customFormat="1" ht="39">
      <c r="A349" s="65" t="s">
        <v>671</v>
      </c>
      <c r="B349" s="73" t="s">
        <v>183</v>
      </c>
      <c r="C349" s="74"/>
      <c r="D349" s="10" t="s">
        <v>805</v>
      </c>
      <c r="E349" s="31" t="s">
        <v>814</v>
      </c>
    </row>
    <row r="350" spans="1:5" s="2" customFormat="1" ht="39">
      <c r="A350" s="65" t="s">
        <v>672</v>
      </c>
      <c r="B350" s="73" t="s">
        <v>185</v>
      </c>
      <c r="C350" s="74"/>
      <c r="D350" s="10" t="s">
        <v>815</v>
      </c>
      <c r="E350" s="31" t="s">
        <v>816</v>
      </c>
    </row>
    <row r="351" spans="1:5" s="2" customFormat="1" ht="39">
      <c r="A351" s="65" t="s">
        <v>673</v>
      </c>
      <c r="B351" s="73" t="s">
        <v>187</v>
      </c>
      <c r="C351" s="74"/>
      <c r="D351" s="10" t="s">
        <v>817</v>
      </c>
      <c r="E351" s="31" t="s">
        <v>818</v>
      </c>
    </row>
    <row r="352" spans="1:5" s="2" customFormat="1" ht="104.1" customHeight="1">
      <c r="A352" s="65" t="s">
        <v>674</v>
      </c>
      <c r="B352" s="92" t="s">
        <v>189</v>
      </c>
      <c r="C352" s="74"/>
      <c r="D352" s="10" t="s">
        <v>805</v>
      </c>
      <c r="E352" s="31" t="s">
        <v>819</v>
      </c>
    </row>
    <row r="353" spans="1:5" s="2" customFormat="1"/>
    <row r="354" spans="1:5">
      <c r="A354" s="93"/>
      <c r="B354" s="2"/>
      <c r="C354" s="2"/>
      <c r="E354" s="2"/>
    </row>
    <row r="355" spans="1:5">
      <c r="A355" s="22" t="s">
        <v>675</v>
      </c>
      <c r="B355" s="23"/>
      <c r="C355" s="62" t="s">
        <v>739</v>
      </c>
      <c r="D355" s="63" t="s">
        <v>740</v>
      </c>
      <c r="E355" s="64" t="s">
        <v>1</v>
      </c>
    </row>
    <row r="356" spans="1:5">
      <c r="A356" s="65" t="s">
        <v>676</v>
      </c>
      <c r="B356" s="72" t="s">
        <v>677</v>
      </c>
      <c r="C356" s="32"/>
      <c r="D356" s="67"/>
      <c r="E356" s="31"/>
    </row>
    <row r="357" spans="1:5">
      <c r="A357" s="65" t="s">
        <v>678</v>
      </c>
      <c r="B357" s="72" t="s">
        <v>679</v>
      </c>
      <c r="C357" s="32"/>
      <c r="D357" s="67"/>
      <c r="E357" s="31"/>
    </row>
    <row r="358" spans="1:5">
      <c r="A358" s="65" t="s">
        <v>680</v>
      </c>
      <c r="B358" s="72" t="s">
        <v>681</v>
      </c>
      <c r="C358" s="32"/>
      <c r="D358" s="67"/>
      <c r="E358" s="31"/>
    </row>
    <row r="359" spans="1:5">
      <c r="A359" s="65" t="s">
        <v>682</v>
      </c>
      <c r="B359" s="72" t="s">
        <v>683</v>
      </c>
      <c r="C359" s="32"/>
      <c r="D359" s="10"/>
      <c r="E359" s="31"/>
    </row>
    <row r="360" spans="1:5">
      <c r="A360" s="65" t="s">
        <v>684</v>
      </c>
      <c r="B360" s="72" t="s">
        <v>685</v>
      </c>
      <c r="C360" s="32"/>
      <c r="D360" s="10"/>
      <c r="E360" s="31"/>
    </row>
    <row r="361" spans="1:5">
      <c r="A361" s="65" t="s">
        <v>686</v>
      </c>
      <c r="B361" s="72" t="s">
        <v>687</v>
      </c>
      <c r="C361" s="32"/>
      <c r="D361" s="10"/>
      <c r="E361" s="31"/>
    </row>
    <row r="362" spans="1:5" ht="26.1">
      <c r="A362" s="65" t="s">
        <v>688</v>
      </c>
      <c r="B362" s="72" t="s">
        <v>689</v>
      </c>
      <c r="C362" s="32"/>
      <c r="D362" s="5"/>
      <c r="E362" s="31"/>
    </row>
    <row r="363" spans="1:5">
      <c r="A363" s="2"/>
      <c r="B363" s="2"/>
      <c r="C363" s="2"/>
      <c r="E363" s="2"/>
    </row>
    <row r="364" spans="1:5">
      <c r="A364" s="2"/>
      <c r="B364" s="2"/>
      <c r="C364" s="2"/>
      <c r="E364" s="2"/>
    </row>
    <row r="365" spans="1:5">
      <c r="A365" s="22" t="s">
        <v>690</v>
      </c>
      <c r="B365" s="23"/>
      <c r="C365" s="41" t="s">
        <v>739</v>
      </c>
      <c r="D365" s="9" t="s">
        <v>740</v>
      </c>
      <c r="E365" s="40" t="s">
        <v>1</v>
      </c>
    </row>
    <row r="366" spans="1:5">
      <c r="A366" s="65" t="s">
        <v>691</v>
      </c>
      <c r="B366" s="72" t="s">
        <v>692</v>
      </c>
      <c r="C366" s="74"/>
      <c r="D366" s="116" t="s">
        <v>923</v>
      </c>
      <c r="E366" s="76" t="s">
        <v>924</v>
      </c>
    </row>
    <row r="367" spans="1:5" ht="29.1">
      <c r="A367" s="65" t="s">
        <v>693</v>
      </c>
      <c r="B367" s="72" t="s">
        <v>694</v>
      </c>
      <c r="C367" s="74"/>
      <c r="D367" s="75" t="s">
        <v>925</v>
      </c>
      <c r="E367" s="76" t="s">
        <v>926</v>
      </c>
    </row>
    <row r="368" spans="1:5" ht="87">
      <c r="A368" s="65" t="s">
        <v>695</v>
      </c>
      <c r="B368" s="72" t="s">
        <v>696</v>
      </c>
      <c r="C368" s="74"/>
      <c r="D368" s="75" t="s">
        <v>927</v>
      </c>
      <c r="E368" s="76" t="s">
        <v>928</v>
      </c>
    </row>
    <row r="369" spans="1:5" ht="304.5">
      <c r="A369" s="65" t="s">
        <v>697</v>
      </c>
      <c r="B369" s="72" t="s">
        <v>698</v>
      </c>
      <c r="C369" s="74"/>
      <c r="D369" s="75" t="s">
        <v>929</v>
      </c>
      <c r="E369" s="76" t="s">
        <v>930</v>
      </c>
    </row>
    <row r="370" spans="1:5" ht="43.5">
      <c r="A370" s="65" t="s">
        <v>699</v>
      </c>
      <c r="B370" s="72" t="s">
        <v>700</v>
      </c>
      <c r="C370" s="74"/>
      <c r="D370" s="75" t="s">
        <v>931</v>
      </c>
      <c r="E370" s="76" t="s">
        <v>932</v>
      </c>
    </row>
    <row r="371" spans="1:5" ht="78">
      <c r="A371" s="65" t="s">
        <v>701</v>
      </c>
      <c r="B371" s="72" t="s">
        <v>702</v>
      </c>
      <c r="C371" s="74"/>
      <c r="D371" s="75"/>
      <c r="E371" s="76" t="s">
        <v>933</v>
      </c>
    </row>
    <row r="374" spans="1:5">
      <c r="A374" s="22" t="s">
        <v>703</v>
      </c>
      <c r="B374" s="23"/>
      <c r="C374" s="62" t="s">
        <v>739</v>
      </c>
      <c r="D374" s="63" t="s">
        <v>740</v>
      </c>
      <c r="E374" s="64" t="s">
        <v>1</v>
      </c>
    </row>
    <row r="375" spans="1:5">
      <c r="A375" s="65" t="s">
        <v>704</v>
      </c>
      <c r="B375" s="72" t="s">
        <v>705</v>
      </c>
      <c r="C375" s="32"/>
      <c r="D375" s="67" t="s">
        <v>934</v>
      </c>
      <c r="E375" s="31" t="s">
        <v>935</v>
      </c>
    </row>
    <row r="376" spans="1:5" ht="78">
      <c r="A376" s="65" t="s">
        <v>706</v>
      </c>
      <c r="B376" s="72" t="s">
        <v>707</v>
      </c>
      <c r="C376" s="32" t="s">
        <v>936</v>
      </c>
      <c r="D376" s="67" t="s">
        <v>937</v>
      </c>
      <c r="E376" s="31" t="s">
        <v>938</v>
      </c>
    </row>
    <row r="377" spans="1:5" ht="90.95">
      <c r="A377" s="65" t="s">
        <v>708</v>
      </c>
      <c r="B377" s="72" t="s">
        <v>709</v>
      </c>
      <c r="C377" s="32"/>
      <c r="D377" s="67" t="s">
        <v>939</v>
      </c>
      <c r="E377" s="31" t="s">
        <v>940</v>
      </c>
    </row>
    <row r="378" spans="1:5" ht="26.1">
      <c r="A378" s="65" t="s">
        <v>710</v>
      </c>
      <c r="B378" s="72" t="s">
        <v>711</v>
      </c>
      <c r="C378" s="32"/>
      <c r="D378" s="67" t="s">
        <v>939</v>
      </c>
      <c r="E378" s="31" t="s">
        <v>941</v>
      </c>
    </row>
    <row r="379" spans="1:5" ht="26.1">
      <c r="A379" s="65" t="s">
        <v>712</v>
      </c>
      <c r="B379" s="72" t="s">
        <v>713</v>
      </c>
      <c r="C379" s="32"/>
      <c r="D379" s="67" t="s">
        <v>939</v>
      </c>
      <c r="E379" s="31" t="s">
        <v>942</v>
      </c>
    </row>
    <row r="380" spans="1:5" ht="26.1">
      <c r="A380" s="65" t="s">
        <v>714</v>
      </c>
      <c r="B380" s="72" t="s">
        <v>715</v>
      </c>
      <c r="C380" s="32"/>
      <c r="D380" s="67" t="s">
        <v>939</v>
      </c>
      <c r="E380" s="31" t="s">
        <v>943</v>
      </c>
    </row>
    <row r="381" spans="1:5" ht="156">
      <c r="A381" s="65" t="s">
        <v>716</v>
      </c>
      <c r="B381" s="72" t="s">
        <v>944</v>
      </c>
      <c r="C381" s="32"/>
      <c r="D381" s="117" t="s">
        <v>945</v>
      </c>
      <c r="E381" s="31" t="s">
        <v>946</v>
      </c>
    </row>
    <row r="382" spans="1:5" ht="78.599999999999994">
      <c r="A382" s="65" t="s">
        <v>718</v>
      </c>
      <c r="B382" s="72" t="s">
        <v>719</v>
      </c>
      <c r="C382" s="32" t="s">
        <v>947</v>
      </c>
      <c r="D382" s="119" t="s">
        <v>939</v>
      </c>
      <c r="E382" s="118" t="s">
        <v>948</v>
      </c>
    </row>
    <row r="385" spans="1:5">
      <c r="A385" s="22" t="s">
        <v>720</v>
      </c>
      <c r="B385" s="23"/>
      <c r="C385" s="62" t="s">
        <v>739</v>
      </c>
      <c r="D385" s="63" t="s">
        <v>740</v>
      </c>
      <c r="E385" s="64" t="s">
        <v>1</v>
      </c>
    </row>
    <row r="386" spans="1:5" ht="26.45">
      <c r="A386" s="28" t="s">
        <v>721</v>
      </c>
      <c r="B386" s="36" t="s">
        <v>722</v>
      </c>
      <c r="C386" s="32"/>
      <c r="D386" s="67"/>
      <c r="E386" s="31"/>
    </row>
    <row r="387" spans="1:5">
      <c r="A387" s="28" t="s">
        <v>723</v>
      </c>
      <c r="B387" s="36" t="s">
        <v>724</v>
      </c>
      <c r="C387" s="32"/>
      <c r="D387" s="67"/>
      <c r="E387" s="31"/>
    </row>
    <row r="388" spans="1:5" ht="26.45">
      <c r="A388" s="28" t="s">
        <v>725</v>
      </c>
      <c r="B388" s="36" t="s">
        <v>726</v>
      </c>
      <c r="C388" s="32"/>
      <c r="D388" s="67"/>
      <c r="E388" s="31"/>
    </row>
    <row r="389" spans="1:5">
      <c r="A389" s="28" t="s">
        <v>727</v>
      </c>
      <c r="B389" s="36" t="s">
        <v>728</v>
      </c>
      <c r="C389" s="32"/>
      <c r="D389" s="67"/>
      <c r="E389" s="31"/>
    </row>
    <row r="390" spans="1:5">
      <c r="A390" s="28" t="s">
        <v>729</v>
      </c>
      <c r="B390" s="36" t="s">
        <v>730</v>
      </c>
      <c r="C390" s="32"/>
      <c r="D390" s="5"/>
      <c r="E390" s="31"/>
    </row>
    <row r="393" spans="1:5">
      <c r="A393" s="22" t="s">
        <v>731</v>
      </c>
      <c r="B393" s="23"/>
      <c r="C393" s="62" t="s">
        <v>739</v>
      </c>
      <c r="D393" s="63" t="s">
        <v>740</v>
      </c>
      <c r="E393" s="64" t="s">
        <v>1</v>
      </c>
    </row>
    <row r="394" spans="1:5" ht="39.6">
      <c r="A394" s="28" t="s">
        <v>732</v>
      </c>
      <c r="B394" s="36" t="s">
        <v>733</v>
      </c>
      <c r="C394" s="32"/>
      <c r="D394" s="67"/>
      <c r="E394" s="31"/>
    </row>
    <row r="397" spans="1:5">
      <c r="A397" s="22" t="s">
        <v>734</v>
      </c>
      <c r="B397" s="23"/>
      <c r="C397" s="62" t="s">
        <v>739</v>
      </c>
      <c r="D397" s="63" t="s">
        <v>740</v>
      </c>
      <c r="E397" s="64" t="s">
        <v>1</v>
      </c>
    </row>
    <row r="398" spans="1:5" ht="39.6">
      <c r="A398" s="28" t="s">
        <v>735</v>
      </c>
      <c r="B398" s="36" t="s">
        <v>736</v>
      </c>
      <c r="C398" s="32"/>
      <c r="D398" s="67"/>
      <c r="E398" s="31"/>
    </row>
    <row r="399" spans="1:5" ht="39.6">
      <c r="A399" s="28" t="s">
        <v>737</v>
      </c>
      <c r="B399" s="36" t="s">
        <v>738</v>
      </c>
      <c r="C399" s="32"/>
      <c r="D399" s="67"/>
      <c r="E399" s="31"/>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DC92-A5B0-49FB-8DC0-94B5F2067058}">
  <dimension ref="A1:J159"/>
  <sheetViews>
    <sheetView tabSelected="1" topLeftCell="A25" zoomScale="70" zoomScaleNormal="70" workbookViewId="0">
      <selection activeCell="E31" sqref="E31"/>
    </sheetView>
  </sheetViews>
  <sheetFormatPr defaultRowHeight="14.45"/>
  <cols>
    <col min="1" max="1" width="48.85546875" bestFit="1" customWidth="1"/>
    <col min="2" max="2" width="92.5703125" bestFit="1" customWidth="1"/>
    <col min="3" max="3" width="44.28515625" customWidth="1"/>
    <col min="4" max="4" width="55.140625" bestFit="1" customWidth="1"/>
    <col min="5" max="5" width="108.5703125" customWidth="1"/>
    <col min="6" max="6" width="10.5703125" bestFit="1" customWidth="1"/>
    <col min="7" max="7" width="10.42578125" customWidth="1"/>
    <col min="8" max="8" width="30" bestFit="1" customWidth="1"/>
    <col min="9" max="9" width="16.42578125" customWidth="1"/>
    <col min="10" max="10" width="21.140625" style="82" customWidth="1"/>
    <col min="11" max="11" width="39.7109375" customWidth="1"/>
  </cols>
  <sheetData>
    <row r="1" spans="1:10">
      <c r="A1" s="77"/>
      <c r="B1" s="77"/>
      <c r="C1" s="77"/>
      <c r="D1" s="77"/>
      <c r="E1" s="77"/>
    </row>
    <row r="2" spans="1:10">
      <c r="A2" s="77"/>
      <c r="B2" s="77"/>
      <c r="C2" s="77"/>
      <c r="D2" s="77"/>
    </row>
    <row r="3" spans="1:10" ht="26.1">
      <c r="A3" s="24" t="s">
        <v>57</v>
      </c>
      <c r="B3" s="25"/>
      <c r="C3" s="27" t="s">
        <v>739</v>
      </c>
      <c r="D3" s="27" t="s">
        <v>740</v>
      </c>
      <c r="E3" s="26" t="s">
        <v>1</v>
      </c>
      <c r="F3" s="26" t="s">
        <v>949</v>
      </c>
      <c r="G3" s="26" t="s">
        <v>950</v>
      </c>
      <c r="H3" s="27" t="s">
        <v>951</v>
      </c>
      <c r="I3" s="27" t="s">
        <v>952</v>
      </c>
      <c r="J3" s="170" t="s">
        <v>953</v>
      </c>
    </row>
    <row r="4" spans="1:10" ht="50.25" customHeight="1">
      <c r="A4" s="65" t="s">
        <v>58</v>
      </c>
      <c r="B4" s="73" t="s">
        <v>59</v>
      </c>
      <c r="C4" s="177" t="s">
        <v>954</v>
      </c>
      <c r="D4" s="178" t="s">
        <v>955</v>
      </c>
      <c r="E4" s="76" t="s">
        <v>956</v>
      </c>
      <c r="F4" s="76" t="s">
        <v>957</v>
      </c>
      <c r="G4" s="120">
        <v>46045</v>
      </c>
      <c r="H4" s="156" t="s">
        <v>958</v>
      </c>
      <c r="I4" s="160">
        <v>46043</v>
      </c>
      <c r="J4" s="171" t="s">
        <v>959</v>
      </c>
    </row>
    <row r="5" spans="1:10" ht="51" customHeight="1">
      <c r="A5" s="65" t="s">
        <v>60</v>
      </c>
      <c r="B5" s="73" t="s">
        <v>61</v>
      </c>
      <c r="C5" s="177"/>
      <c r="D5" s="178"/>
      <c r="E5" s="76" t="s">
        <v>960</v>
      </c>
      <c r="F5" s="76" t="s">
        <v>957</v>
      </c>
      <c r="G5" s="120">
        <v>46045</v>
      </c>
      <c r="H5" s="156" t="s">
        <v>958</v>
      </c>
      <c r="I5" s="160">
        <v>46043</v>
      </c>
      <c r="J5" s="174"/>
    </row>
    <row r="6" spans="1:10" ht="161.25" customHeight="1">
      <c r="A6" s="65" t="s">
        <v>62</v>
      </c>
      <c r="B6" s="73" t="s">
        <v>63</v>
      </c>
      <c r="C6" s="177" t="s">
        <v>961</v>
      </c>
      <c r="D6" s="157" t="s">
        <v>962</v>
      </c>
      <c r="E6" s="152" t="s">
        <v>963</v>
      </c>
      <c r="F6" s="76" t="s">
        <v>957</v>
      </c>
      <c r="G6" s="120">
        <v>46045</v>
      </c>
      <c r="H6" s="156" t="s">
        <v>958</v>
      </c>
      <c r="I6" s="160">
        <v>46043</v>
      </c>
      <c r="J6" s="174"/>
    </row>
    <row r="7" spans="1:10" ht="139.5" customHeight="1">
      <c r="A7" s="65" t="s">
        <v>64</v>
      </c>
      <c r="B7" s="110" t="s">
        <v>65</v>
      </c>
      <c r="C7" s="177"/>
      <c r="D7" s="157" t="s">
        <v>962</v>
      </c>
      <c r="E7" s="152" t="s">
        <v>964</v>
      </c>
      <c r="F7" s="76" t="s">
        <v>957</v>
      </c>
      <c r="G7" s="120">
        <v>46045</v>
      </c>
      <c r="H7" s="156" t="s">
        <v>958</v>
      </c>
      <c r="I7" s="160">
        <v>46043</v>
      </c>
      <c r="J7" s="174"/>
    </row>
    <row r="8" spans="1:10" ht="163.5" customHeight="1">
      <c r="A8" s="65" t="s">
        <v>66</v>
      </c>
      <c r="B8" s="73" t="s">
        <v>965</v>
      </c>
      <c r="C8" s="177" t="s">
        <v>966</v>
      </c>
      <c r="D8" s="157" t="s">
        <v>967</v>
      </c>
      <c r="E8" s="152" t="s">
        <v>968</v>
      </c>
      <c r="F8" s="76" t="s">
        <v>957</v>
      </c>
      <c r="G8" s="120">
        <v>46045</v>
      </c>
      <c r="H8" s="156" t="s">
        <v>958</v>
      </c>
      <c r="I8" s="160">
        <v>46043</v>
      </c>
      <c r="J8" s="174"/>
    </row>
    <row r="9" spans="1:10" ht="135.75" customHeight="1">
      <c r="A9" s="65" t="s">
        <v>68</v>
      </c>
      <c r="B9" s="110" t="s">
        <v>69</v>
      </c>
      <c r="C9" s="177"/>
      <c r="D9" s="157" t="s">
        <v>967</v>
      </c>
      <c r="E9" s="152" t="s">
        <v>969</v>
      </c>
      <c r="F9" s="76" t="s">
        <v>957</v>
      </c>
      <c r="G9" s="120">
        <v>46045</v>
      </c>
      <c r="H9" s="156" t="s">
        <v>958</v>
      </c>
      <c r="I9" s="160">
        <v>46043</v>
      </c>
      <c r="J9" s="174"/>
    </row>
    <row r="10" spans="1:10" ht="165" customHeight="1">
      <c r="A10" s="65" t="s">
        <v>70</v>
      </c>
      <c r="B10" s="73" t="s">
        <v>71</v>
      </c>
      <c r="C10" s="177" t="s">
        <v>970</v>
      </c>
      <c r="D10" s="157" t="s">
        <v>971</v>
      </c>
      <c r="E10" s="152" t="s">
        <v>972</v>
      </c>
      <c r="F10" s="76" t="s">
        <v>957</v>
      </c>
      <c r="G10" s="120">
        <v>46045</v>
      </c>
      <c r="H10" s="156" t="s">
        <v>958</v>
      </c>
      <c r="I10" s="160">
        <v>46043</v>
      </c>
      <c r="J10" s="174"/>
    </row>
    <row r="11" spans="1:10" ht="132.75" customHeight="1">
      <c r="A11" s="65" t="s">
        <v>72</v>
      </c>
      <c r="B11" s="110" t="s">
        <v>73</v>
      </c>
      <c r="C11" s="177"/>
      <c r="D11" s="157" t="s">
        <v>971</v>
      </c>
      <c r="E11" s="152" t="s">
        <v>973</v>
      </c>
      <c r="F11" s="76" t="s">
        <v>957</v>
      </c>
      <c r="G11" s="120">
        <v>46045</v>
      </c>
      <c r="H11" s="156" t="s">
        <v>958</v>
      </c>
      <c r="I11" s="160">
        <v>46043</v>
      </c>
      <c r="J11" s="174"/>
    </row>
    <row r="12" spans="1:10" ht="162" customHeight="1">
      <c r="A12" s="65" t="s">
        <v>74</v>
      </c>
      <c r="B12" s="73" t="s">
        <v>75</v>
      </c>
      <c r="C12" s="177" t="s">
        <v>974</v>
      </c>
      <c r="D12" s="157" t="s">
        <v>975</v>
      </c>
      <c r="E12" s="152" t="s">
        <v>976</v>
      </c>
      <c r="F12" s="76" t="s">
        <v>957</v>
      </c>
      <c r="G12" s="120">
        <v>46045</v>
      </c>
      <c r="H12" s="156" t="s">
        <v>958</v>
      </c>
      <c r="I12" s="160">
        <v>46043</v>
      </c>
      <c r="J12" s="173" t="s">
        <v>977</v>
      </c>
    </row>
    <row r="13" spans="1:10" ht="132.75" customHeight="1">
      <c r="A13" s="65" t="s">
        <v>76</v>
      </c>
      <c r="B13" s="110" t="s">
        <v>77</v>
      </c>
      <c r="C13" s="177"/>
      <c r="D13" s="157" t="s">
        <v>975</v>
      </c>
      <c r="E13" s="152" t="s">
        <v>978</v>
      </c>
      <c r="F13" s="76" t="s">
        <v>957</v>
      </c>
      <c r="G13" s="120">
        <v>46045</v>
      </c>
      <c r="H13" s="156" t="s">
        <v>958</v>
      </c>
      <c r="I13" s="160">
        <v>46043</v>
      </c>
      <c r="J13" s="174"/>
    </row>
    <row r="14" spans="1:10" ht="39" customHeight="1">
      <c r="A14" s="65" t="s">
        <v>78</v>
      </c>
      <c r="B14" s="73" t="s">
        <v>79</v>
      </c>
      <c r="C14" s="74" t="s">
        <v>979</v>
      </c>
      <c r="D14" s="158" t="s">
        <v>980</v>
      </c>
      <c r="E14" s="76" t="s">
        <v>981</v>
      </c>
      <c r="F14" s="76" t="s">
        <v>957</v>
      </c>
      <c r="G14" s="120">
        <v>46045</v>
      </c>
      <c r="H14" s="156" t="s">
        <v>958</v>
      </c>
      <c r="I14" s="160">
        <v>46043</v>
      </c>
      <c r="J14" s="174"/>
    </row>
    <row r="15" spans="1:10" ht="59.25" customHeight="1">
      <c r="A15" s="65" t="s">
        <v>80</v>
      </c>
      <c r="B15" s="73" t="s">
        <v>81</v>
      </c>
      <c r="C15" s="74" t="s">
        <v>982</v>
      </c>
      <c r="D15" s="158" t="s">
        <v>983</v>
      </c>
      <c r="E15" s="76" t="s">
        <v>984</v>
      </c>
      <c r="F15" s="76" t="s">
        <v>957</v>
      </c>
      <c r="G15" s="120">
        <v>46045</v>
      </c>
      <c r="H15" s="156" t="s">
        <v>958</v>
      </c>
      <c r="I15" s="160">
        <v>46043</v>
      </c>
      <c r="J15" s="174"/>
    </row>
    <row r="16" spans="1:10" ht="51.95">
      <c r="A16" s="65" t="s">
        <v>82</v>
      </c>
      <c r="B16" s="73" t="s">
        <v>83</v>
      </c>
      <c r="C16" s="74" t="s">
        <v>985</v>
      </c>
      <c r="D16" s="158" t="s">
        <v>986</v>
      </c>
      <c r="E16" s="76" t="s">
        <v>987</v>
      </c>
      <c r="F16" s="76" t="s">
        <v>957</v>
      </c>
      <c r="G16" s="120">
        <v>46045</v>
      </c>
      <c r="H16" s="156" t="s">
        <v>958</v>
      </c>
      <c r="I16" s="160">
        <v>46043</v>
      </c>
      <c r="J16" s="174"/>
    </row>
    <row r="17" spans="1:10" ht="39">
      <c r="A17" s="65" t="s">
        <v>84</v>
      </c>
      <c r="B17" s="73" t="s">
        <v>85</v>
      </c>
      <c r="C17" s="74" t="s">
        <v>988</v>
      </c>
      <c r="D17" s="158" t="s">
        <v>989</v>
      </c>
      <c r="E17" s="76" t="s">
        <v>990</v>
      </c>
      <c r="F17" s="76" t="s">
        <v>957</v>
      </c>
      <c r="G17" s="120">
        <v>46045</v>
      </c>
      <c r="H17" s="156" t="s">
        <v>958</v>
      </c>
      <c r="I17" s="160">
        <v>46043</v>
      </c>
      <c r="J17" s="174"/>
    </row>
    <row r="18" spans="1:10" ht="51.95">
      <c r="A18" s="65" t="s">
        <v>86</v>
      </c>
      <c r="B18" s="73" t="s">
        <v>87</v>
      </c>
      <c r="C18" s="74" t="s">
        <v>991</v>
      </c>
      <c r="D18" s="158" t="s">
        <v>992</v>
      </c>
      <c r="E18" s="76" t="s">
        <v>993</v>
      </c>
      <c r="F18" s="76" t="s">
        <v>957</v>
      </c>
      <c r="G18" s="120">
        <v>46045</v>
      </c>
      <c r="H18" s="156" t="s">
        <v>958</v>
      </c>
      <c r="I18" s="160">
        <v>46043</v>
      </c>
      <c r="J18" s="174"/>
    </row>
    <row r="19" spans="1:10" ht="39">
      <c r="A19" s="65" t="s">
        <v>88</v>
      </c>
      <c r="B19" s="73" t="s">
        <v>89</v>
      </c>
      <c r="C19" s="74" t="s">
        <v>994</v>
      </c>
      <c r="D19" s="158" t="s">
        <v>995</v>
      </c>
      <c r="E19" s="76" t="s">
        <v>996</v>
      </c>
      <c r="F19" s="76" t="s">
        <v>957</v>
      </c>
      <c r="G19" s="120">
        <v>46045</v>
      </c>
      <c r="H19" s="156" t="s">
        <v>958</v>
      </c>
      <c r="I19" s="160">
        <v>46043</v>
      </c>
      <c r="J19" s="174"/>
    </row>
    <row r="20" spans="1:10">
      <c r="A20" s="77"/>
      <c r="B20" s="77"/>
      <c r="C20" s="78"/>
      <c r="D20" s="78"/>
      <c r="E20" s="77"/>
    </row>
    <row r="21" spans="1:10">
      <c r="A21" s="81"/>
      <c r="B21" s="162" t="s">
        <v>997</v>
      </c>
      <c r="C21" s="82"/>
      <c r="D21" s="83"/>
      <c r="E21" s="82"/>
    </row>
    <row r="22" spans="1:10">
      <c r="A22" s="81"/>
      <c r="B22" s="2"/>
      <c r="C22" s="2"/>
      <c r="D22" s="83"/>
      <c r="E22" s="2"/>
    </row>
    <row r="23" spans="1:10" ht="26.1">
      <c r="A23" s="24" t="s">
        <v>207</v>
      </c>
      <c r="B23" s="34"/>
      <c r="C23" s="41" t="s">
        <v>739</v>
      </c>
      <c r="D23" s="9" t="s">
        <v>740</v>
      </c>
      <c r="E23" s="26" t="s">
        <v>1</v>
      </c>
      <c r="F23" s="26" t="s">
        <v>949</v>
      </c>
      <c r="G23" s="26" t="s">
        <v>950</v>
      </c>
      <c r="H23" s="161" t="s">
        <v>951</v>
      </c>
      <c r="I23" s="27" t="s">
        <v>952</v>
      </c>
      <c r="J23" s="172" t="s">
        <v>953</v>
      </c>
    </row>
    <row r="24" spans="1:10" ht="174.75" customHeight="1">
      <c r="A24" s="65" t="s">
        <v>218</v>
      </c>
      <c r="B24" s="153" t="s">
        <v>219</v>
      </c>
      <c r="C24" s="179" t="s">
        <v>998</v>
      </c>
      <c r="D24" s="154" t="s">
        <v>999</v>
      </c>
      <c r="E24" s="148" t="s">
        <v>1000</v>
      </c>
      <c r="F24" s="76" t="s">
        <v>957</v>
      </c>
      <c r="G24" s="122">
        <v>46048</v>
      </c>
      <c r="H24" s="156" t="s">
        <v>958</v>
      </c>
      <c r="I24" s="165">
        <v>46048</v>
      </c>
      <c r="J24" s="175"/>
    </row>
    <row r="25" spans="1:10" ht="219.75" customHeight="1">
      <c r="A25" s="65" t="s">
        <v>220</v>
      </c>
      <c r="B25" s="153" t="s">
        <v>221</v>
      </c>
      <c r="C25" s="179"/>
      <c r="D25" s="154" t="s">
        <v>1001</v>
      </c>
      <c r="E25" s="148" t="s">
        <v>1002</v>
      </c>
      <c r="F25" s="76" t="s">
        <v>957</v>
      </c>
      <c r="G25" s="122">
        <v>46048</v>
      </c>
      <c r="H25" s="156" t="s">
        <v>958</v>
      </c>
      <c r="I25" s="165">
        <v>46049</v>
      </c>
      <c r="J25" s="175"/>
    </row>
    <row r="26" spans="1:10">
      <c r="A26" s="65" t="s">
        <v>222</v>
      </c>
      <c r="B26" s="84" t="s">
        <v>223</v>
      </c>
      <c r="C26" s="166"/>
      <c r="D26" s="75"/>
      <c r="E26" s="76"/>
      <c r="F26" s="76" t="s">
        <v>957</v>
      </c>
      <c r="G26" s="120">
        <v>46050</v>
      </c>
      <c r="H26" s="162" t="s">
        <v>997</v>
      </c>
      <c r="I26" s="163"/>
      <c r="J26" s="175"/>
    </row>
    <row r="27" spans="1:10">
      <c r="A27" s="65" t="s">
        <v>241</v>
      </c>
      <c r="B27" s="84" t="s">
        <v>242</v>
      </c>
      <c r="C27" s="74"/>
      <c r="D27" s="75"/>
      <c r="E27" s="76"/>
      <c r="F27" s="76" t="s">
        <v>957</v>
      </c>
      <c r="G27" s="120">
        <v>46050</v>
      </c>
      <c r="H27" s="162" t="s">
        <v>997</v>
      </c>
      <c r="I27" s="163"/>
      <c r="J27" s="175"/>
    </row>
    <row r="28" spans="1:10">
      <c r="A28" s="65" t="s">
        <v>243</v>
      </c>
      <c r="B28" s="84" t="s">
        <v>244</v>
      </c>
      <c r="C28" s="74"/>
      <c r="D28" s="75"/>
      <c r="E28" s="76"/>
      <c r="F28" s="76" t="s">
        <v>957</v>
      </c>
      <c r="G28" s="120">
        <v>46050</v>
      </c>
      <c r="H28" s="162" t="s">
        <v>997</v>
      </c>
      <c r="I28" s="163"/>
      <c r="J28" s="175"/>
    </row>
    <row r="29" spans="1:10" ht="27">
      <c r="A29" s="65" t="s">
        <v>245</v>
      </c>
      <c r="B29" s="84" t="s">
        <v>246</v>
      </c>
      <c r="C29" s="74"/>
      <c r="D29" s="75"/>
      <c r="E29" s="76"/>
      <c r="F29" s="76" t="s">
        <v>957</v>
      </c>
      <c r="G29" s="120">
        <v>46050</v>
      </c>
      <c r="H29" s="162" t="s">
        <v>997</v>
      </c>
      <c r="I29" s="163"/>
      <c r="J29" s="175"/>
    </row>
    <row r="30" spans="1:10" ht="151.5" customHeight="1">
      <c r="A30" s="65" t="s">
        <v>247</v>
      </c>
      <c r="B30" s="72" t="s">
        <v>248</v>
      </c>
      <c r="C30" s="180" t="s">
        <v>998</v>
      </c>
      <c r="D30" s="182" t="s">
        <v>1003</v>
      </c>
      <c r="E30" s="152" t="s">
        <v>1004</v>
      </c>
      <c r="F30" s="76" t="s">
        <v>957</v>
      </c>
      <c r="G30" s="120">
        <v>46049</v>
      </c>
      <c r="H30" s="156" t="s">
        <v>958</v>
      </c>
      <c r="I30" s="160">
        <v>46049</v>
      </c>
      <c r="J30" s="175"/>
    </row>
    <row r="31" spans="1:10" ht="144.75" customHeight="1">
      <c r="A31" s="65" t="s">
        <v>249</v>
      </c>
      <c r="B31" s="72" t="s">
        <v>250</v>
      </c>
      <c r="C31" s="181"/>
      <c r="D31" s="183" t="s">
        <v>1005</v>
      </c>
      <c r="E31" s="76" t="s">
        <v>1006</v>
      </c>
      <c r="F31" s="76" t="s">
        <v>957</v>
      </c>
      <c r="G31" s="120">
        <v>46049</v>
      </c>
      <c r="H31" s="156" t="s">
        <v>958</v>
      </c>
      <c r="I31" s="160">
        <v>46050</v>
      </c>
      <c r="J31" s="175"/>
    </row>
    <row r="32" spans="1:10" ht="143.25" customHeight="1">
      <c r="A32" s="65" t="s">
        <v>251</v>
      </c>
      <c r="B32" s="168" t="s">
        <v>252</v>
      </c>
      <c r="C32" s="167" t="s">
        <v>1007</v>
      </c>
      <c r="D32" s="154" t="s">
        <v>1008</v>
      </c>
      <c r="E32" s="76" t="s">
        <v>1009</v>
      </c>
      <c r="F32" s="76" t="s">
        <v>957</v>
      </c>
      <c r="G32" s="120">
        <v>46049</v>
      </c>
      <c r="H32" s="156" t="s">
        <v>958</v>
      </c>
      <c r="I32" s="160">
        <v>46050</v>
      </c>
      <c r="J32" s="175"/>
    </row>
    <row r="33" spans="1:10" ht="131.25" customHeight="1">
      <c r="A33" s="85" t="s">
        <v>259</v>
      </c>
      <c r="B33" s="86" t="s">
        <v>260</v>
      </c>
      <c r="C33" s="166" t="s">
        <v>1010</v>
      </c>
      <c r="D33" s="75" t="s">
        <v>1011</v>
      </c>
      <c r="E33" s="152" t="s">
        <v>1012</v>
      </c>
      <c r="F33" s="76" t="s">
        <v>957</v>
      </c>
      <c r="G33" s="120">
        <v>46051</v>
      </c>
      <c r="H33" s="162" t="s">
        <v>997</v>
      </c>
      <c r="I33" s="163"/>
      <c r="J33" s="175"/>
    </row>
    <row r="34" spans="1:10">
      <c r="A34" s="85" t="s">
        <v>262</v>
      </c>
      <c r="B34" s="86" t="s">
        <v>263</v>
      </c>
      <c r="C34" s="74"/>
      <c r="D34" s="75"/>
      <c r="E34" s="76"/>
      <c r="F34" s="76" t="s">
        <v>957</v>
      </c>
      <c r="G34" s="120">
        <v>46051</v>
      </c>
      <c r="H34" s="162" t="s">
        <v>1013</v>
      </c>
      <c r="I34" s="163"/>
      <c r="J34" s="175"/>
    </row>
    <row r="35" spans="1:10">
      <c r="A35" s="85" t="s">
        <v>264</v>
      </c>
      <c r="B35" s="86" t="s">
        <v>265</v>
      </c>
      <c r="C35" s="74"/>
      <c r="D35" s="75"/>
      <c r="E35" s="76"/>
      <c r="F35" s="76" t="s">
        <v>957</v>
      </c>
      <c r="G35" s="120">
        <v>46051</v>
      </c>
      <c r="H35" s="162" t="s">
        <v>1013</v>
      </c>
      <c r="I35" s="163"/>
      <c r="J35" s="175"/>
    </row>
    <row r="36" spans="1:10">
      <c r="A36" s="85" t="s">
        <v>266</v>
      </c>
      <c r="B36" s="86" t="s">
        <v>267</v>
      </c>
      <c r="C36" s="74"/>
      <c r="D36" s="75"/>
      <c r="E36" s="76"/>
      <c r="F36" s="76" t="s">
        <v>957</v>
      </c>
      <c r="G36" s="120">
        <v>46051</v>
      </c>
      <c r="H36" s="162" t="s">
        <v>1013</v>
      </c>
      <c r="I36" s="164"/>
      <c r="J36" s="175"/>
    </row>
    <row r="37" spans="1:10">
      <c r="A37" s="85" t="s">
        <v>268</v>
      </c>
      <c r="B37" s="86" t="s">
        <v>269</v>
      </c>
      <c r="C37" s="74"/>
      <c r="D37" s="75"/>
      <c r="E37" s="76"/>
      <c r="F37" s="76" t="s">
        <v>957</v>
      </c>
      <c r="G37" s="120">
        <v>46051</v>
      </c>
      <c r="H37" s="162" t="s">
        <v>1013</v>
      </c>
      <c r="I37" s="163"/>
      <c r="J37" s="175"/>
    </row>
    <row r="38" spans="1:10">
      <c r="A38" s="2"/>
      <c r="B38" s="2"/>
      <c r="C38" s="2"/>
      <c r="D38" s="2"/>
      <c r="E38" s="2"/>
      <c r="H38" s="79"/>
    </row>
    <row r="39" spans="1:10">
      <c r="A39" s="2"/>
      <c r="B39" s="2"/>
      <c r="C39" s="2"/>
      <c r="D39" s="2"/>
      <c r="E39" s="2"/>
    </row>
    <row r="40" spans="1:10" ht="26.1">
      <c r="A40" s="22" t="s">
        <v>278</v>
      </c>
      <c r="B40" s="23"/>
      <c r="C40" s="41" t="s">
        <v>739</v>
      </c>
      <c r="D40" s="9" t="s">
        <v>740</v>
      </c>
      <c r="E40" s="40" t="s">
        <v>1</v>
      </c>
      <c r="F40" s="26" t="s">
        <v>949</v>
      </c>
      <c r="G40" s="26" t="s">
        <v>950</v>
      </c>
      <c r="H40" s="41" t="s">
        <v>951</v>
      </c>
      <c r="I40" s="40"/>
      <c r="J40" s="170" t="s">
        <v>953</v>
      </c>
    </row>
    <row r="41" spans="1:10">
      <c r="A41" s="65" t="s">
        <v>283</v>
      </c>
      <c r="B41" s="72" t="s">
        <v>284</v>
      </c>
      <c r="C41" s="74"/>
      <c r="D41" s="75"/>
      <c r="E41" s="76"/>
      <c r="F41" s="76" t="s">
        <v>1014</v>
      </c>
      <c r="G41" s="122">
        <v>46057</v>
      </c>
      <c r="H41" s="123" t="s">
        <v>1013</v>
      </c>
      <c r="I41" s="155"/>
    </row>
    <row r="42" spans="1:10" ht="26.1">
      <c r="A42" s="65" t="s">
        <v>293</v>
      </c>
      <c r="B42" s="72" t="s">
        <v>294</v>
      </c>
      <c r="C42" s="74"/>
      <c r="D42" s="75"/>
      <c r="E42" s="76"/>
      <c r="F42" s="76" t="s">
        <v>1014</v>
      </c>
      <c r="G42" s="122">
        <v>46057</v>
      </c>
      <c r="H42" s="123" t="s">
        <v>1013</v>
      </c>
      <c r="I42" s="155"/>
    </row>
    <row r="43" spans="1:10" ht="26.1">
      <c r="A43" s="65" t="s">
        <v>297</v>
      </c>
      <c r="B43" s="72" t="s">
        <v>298</v>
      </c>
      <c r="C43" s="74"/>
      <c r="D43" s="75"/>
      <c r="E43" s="76"/>
      <c r="F43" s="76" t="s">
        <v>1014</v>
      </c>
      <c r="G43" s="122">
        <v>46057</v>
      </c>
      <c r="H43" s="123" t="s">
        <v>1013</v>
      </c>
      <c r="I43" s="155"/>
    </row>
    <row r="44" spans="1:10" ht="39">
      <c r="A44" s="65" t="s">
        <v>301</v>
      </c>
      <c r="B44" s="72" t="s">
        <v>302</v>
      </c>
      <c r="C44" s="74"/>
      <c r="D44" s="75"/>
      <c r="E44" s="76"/>
      <c r="F44" s="76" t="s">
        <v>1014</v>
      </c>
      <c r="G44" s="122">
        <v>46057</v>
      </c>
      <c r="H44" s="123" t="s">
        <v>1013</v>
      </c>
      <c r="I44" s="155"/>
    </row>
    <row r="45" spans="1:10">
      <c r="A45" s="65" t="s">
        <v>304</v>
      </c>
      <c r="B45" s="72" t="s">
        <v>305</v>
      </c>
      <c r="C45" s="74"/>
      <c r="D45" s="75"/>
      <c r="E45" s="76"/>
      <c r="F45" s="76" t="s">
        <v>1014</v>
      </c>
      <c r="G45" s="122">
        <v>46057</v>
      </c>
      <c r="H45" s="123" t="s">
        <v>1013</v>
      </c>
      <c r="I45" s="155"/>
    </row>
    <row r="46" spans="1:10">
      <c r="A46" s="65" t="s">
        <v>313</v>
      </c>
      <c r="B46" s="72" t="s">
        <v>314</v>
      </c>
      <c r="C46" s="74"/>
      <c r="D46" s="75"/>
      <c r="E46" s="76"/>
      <c r="F46" s="76" t="s">
        <v>1014</v>
      </c>
      <c r="G46" s="122">
        <v>46057</v>
      </c>
      <c r="H46" s="123" t="s">
        <v>1013</v>
      </c>
      <c r="I46" s="155"/>
    </row>
    <row r="47" spans="1:10" ht="39">
      <c r="A47" s="65" t="s">
        <v>318</v>
      </c>
      <c r="B47" s="72" t="s">
        <v>319</v>
      </c>
      <c r="C47" s="74"/>
      <c r="D47" s="75"/>
      <c r="E47" s="76"/>
      <c r="F47" s="76" t="s">
        <v>1014</v>
      </c>
      <c r="G47" s="122">
        <v>46057</v>
      </c>
      <c r="H47" s="123" t="s">
        <v>1013</v>
      </c>
      <c r="I47" s="155"/>
    </row>
    <row r="48" spans="1:10" ht="51.95">
      <c r="A48" s="85" t="s">
        <v>332</v>
      </c>
      <c r="B48" s="87" t="s">
        <v>333</v>
      </c>
      <c r="C48" s="74"/>
      <c r="D48" s="75"/>
      <c r="E48" s="76" t="s">
        <v>1015</v>
      </c>
      <c r="F48" s="76" t="s">
        <v>1014</v>
      </c>
      <c r="G48" s="122">
        <v>46045</v>
      </c>
      <c r="H48" s="123" t="s">
        <v>958</v>
      </c>
      <c r="I48" s="155"/>
    </row>
    <row r="49" spans="1:9" ht="57.95">
      <c r="A49" s="85" t="s">
        <v>336</v>
      </c>
      <c r="B49" s="87" t="s">
        <v>337</v>
      </c>
      <c r="C49" s="159" t="s">
        <v>1016</v>
      </c>
      <c r="D49" s="75"/>
      <c r="E49" s="76" t="s">
        <v>1017</v>
      </c>
      <c r="F49" s="76" t="s">
        <v>1014</v>
      </c>
      <c r="G49" s="122">
        <v>46045</v>
      </c>
      <c r="H49" s="123" t="s">
        <v>958</v>
      </c>
      <c r="I49" s="155"/>
    </row>
    <row r="50" spans="1:9" ht="124.5" customHeight="1">
      <c r="A50" s="85" t="s">
        <v>338</v>
      </c>
      <c r="B50" s="87" t="s">
        <v>339</v>
      </c>
      <c r="C50" s="74" t="s">
        <v>1018</v>
      </c>
      <c r="D50" s="75"/>
      <c r="E50" s="76" t="s">
        <v>1019</v>
      </c>
      <c r="F50" s="76" t="s">
        <v>1014</v>
      </c>
      <c r="G50" s="122">
        <v>46045</v>
      </c>
      <c r="H50" s="123" t="s">
        <v>958</v>
      </c>
      <c r="I50" s="155"/>
    </row>
    <row r="51" spans="1:9" ht="39">
      <c r="A51" s="85" t="s">
        <v>340</v>
      </c>
      <c r="B51" s="87" t="s">
        <v>341</v>
      </c>
      <c r="C51" s="74"/>
      <c r="D51" s="75"/>
      <c r="E51" s="76"/>
      <c r="F51" s="76" t="s">
        <v>1014</v>
      </c>
      <c r="G51" s="122">
        <v>46057</v>
      </c>
      <c r="H51" s="123" t="s">
        <v>1013</v>
      </c>
      <c r="I51" s="155"/>
    </row>
    <row r="52" spans="1:9" ht="26.1">
      <c r="A52" s="85" t="s">
        <v>342</v>
      </c>
      <c r="B52" s="87" t="s">
        <v>343</v>
      </c>
      <c r="C52" s="74"/>
      <c r="D52" s="75"/>
      <c r="E52" s="76"/>
      <c r="F52" s="76" t="s">
        <v>1014</v>
      </c>
      <c r="G52" s="122">
        <v>46057</v>
      </c>
      <c r="H52" s="123" t="s">
        <v>1013</v>
      </c>
      <c r="I52" s="155"/>
    </row>
    <row r="53" spans="1:9" ht="156">
      <c r="A53" s="85" t="s">
        <v>346</v>
      </c>
      <c r="B53" s="87" t="s">
        <v>347</v>
      </c>
      <c r="C53" s="74"/>
      <c r="D53" s="74"/>
      <c r="E53" s="76"/>
      <c r="F53" s="76" t="s">
        <v>1020</v>
      </c>
      <c r="G53" s="122">
        <v>46050</v>
      </c>
      <c r="H53" s="123" t="s">
        <v>1013</v>
      </c>
      <c r="I53" s="155"/>
    </row>
    <row r="54" spans="1:9" ht="51.95">
      <c r="A54" s="85" t="s">
        <v>349</v>
      </c>
      <c r="B54" s="87" t="s">
        <v>350</v>
      </c>
      <c r="C54" s="74" t="s">
        <v>1021</v>
      </c>
      <c r="D54" s="75" t="s">
        <v>1022</v>
      </c>
      <c r="E54" s="76"/>
      <c r="F54" s="76" t="s">
        <v>1020</v>
      </c>
      <c r="G54" s="122">
        <v>46049</v>
      </c>
      <c r="H54" s="123" t="s">
        <v>997</v>
      </c>
      <c r="I54" s="155"/>
    </row>
    <row r="55" spans="1:9" ht="104.1">
      <c r="A55" s="85" t="s">
        <v>351</v>
      </c>
      <c r="B55" s="87" t="s">
        <v>352</v>
      </c>
      <c r="C55" s="74" t="s">
        <v>1023</v>
      </c>
      <c r="D55" s="75" t="s">
        <v>1024</v>
      </c>
      <c r="E55" s="76" t="s">
        <v>1025</v>
      </c>
      <c r="F55" s="76" t="s">
        <v>1014</v>
      </c>
      <c r="G55" s="122">
        <v>46045</v>
      </c>
      <c r="H55" s="123" t="s">
        <v>997</v>
      </c>
      <c r="I55" s="155"/>
    </row>
    <row r="56" spans="1:9" ht="90.95">
      <c r="A56" s="85" t="s">
        <v>354</v>
      </c>
      <c r="B56" s="87" t="s">
        <v>355</v>
      </c>
      <c r="C56" s="74" t="s">
        <v>1026</v>
      </c>
      <c r="D56" s="75"/>
      <c r="E56" s="76" t="s">
        <v>1027</v>
      </c>
      <c r="F56" s="76" t="s">
        <v>1014</v>
      </c>
      <c r="G56" s="122">
        <v>46045</v>
      </c>
      <c r="H56" s="123" t="s">
        <v>997</v>
      </c>
      <c r="I56" s="155"/>
    </row>
    <row r="57" spans="1:9" ht="156">
      <c r="A57" s="85" t="s">
        <v>361</v>
      </c>
      <c r="B57" s="87" t="s">
        <v>362</v>
      </c>
      <c r="C57" s="74"/>
      <c r="D57" s="75"/>
      <c r="E57" s="76"/>
      <c r="F57" s="76" t="s">
        <v>1020</v>
      </c>
      <c r="G57" s="122">
        <v>46056</v>
      </c>
      <c r="H57" s="123" t="s">
        <v>1013</v>
      </c>
      <c r="I57" s="155"/>
    </row>
    <row r="58" spans="1:9" ht="78">
      <c r="A58" s="85" t="s">
        <v>365</v>
      </c>
      <c r="B58" s="87" t="s">
        <v>366</v>
      </c>
      <c r="C58" s="74"/>
      <c r="D58" s="75"/>
      <c r="E58" s="76"/>
      <c r="F58" s="76" t="s">
        <v>1028</v>
      </c>
      <c r="G58" s="122">
        <v>46057</v>
      </c>
      <c r="H58" s="123" t="s">
        <v>1013</v>
      </c>
      <c r="I58" s="155"/>
    </row>
    <row r="59" spans="1:9" ht="78">
      <c r="A59" s="85" t="s">
        <v>367</v>
      </c>
      <c r="B59" s="87" t="s">
        <v>368</v>
      </c>
      <c r="C59" s="74"/>
      <c r="D59" s="75"/>
      <c r="E59" s="76"/>
      <c r="F59" s="76" t="s">
        <v>1028</v>
      </c>
      <c r="G59" s="122">
        <v>46058</v>
      </c>
      <c r="H59" s="123" t="s">
        <v>1013</v>
      </c>
      <c r="I59" s="155"/>
    </row>
    <row r="60" spans="1:9" ht="113.25" customHeight="1">
      <c r="A60" s="85" t="s">
        <v>371</v>
      </c>
      <c r="B60" s="87" t="s">
        <v>372</v>
      </c>
      <c r="C60" s="74" t="s">
        <v>1029</v>
      </c>
      <c r="D60" s="75" t="s">
        <v>1030</v>
      </c>
      <c r="E60" s="76" t="s">
        <v>1031</v>
      </c>
      <c r="F60" s="76" t="s">
        <v>1014</v>
      </c>
      <c r="G60" s="122">
        <v>46043</v>
      </c>
      <c r="H60" s="123" t="s">
        <v>958</v>
      </c>
      <c r="I60" s="155"/>
    </row>
    <row r="61" spans="1:9" ht="65.099999999999994">
      <c r="A61" s="85" t="s">
        <v>373</v>
      </c>
      <c r="B61" s="87" t="s">
        <v>374</v>
      </c>
      <c r="C61" s="74" t="s">
        <v>1032</v>
      </c>
      <c r="D61" s="75"/>
      <c r="E61" s="76" t="s">
        <v>1033</v>
      </c>
      <c r="F61" s="76" t="s">
        <v>1014</v>
      </c>
      <c r="G61" s="122">
        <v>46043</v>
      </c>
      <c r="H61" s="123" t="s">
        <v>958</v>
      </c>
      <c r="I61" s="155"/>
    </row>
    <row r="62" spans="1:9" ht="78">
      <c r="A62" s="85" t="s">
        <v>377</v>
      </c>
      <c r="B62" s="87" t="s">
        <v>378</v>
      </c>
      <c r="C62" s="74" t="s">
        <v>1034</v>
      </c>
      <c r="D62" s="75" t="s">
        <v>1035</v>
      </c>
      <c r="E62" s="76" t="s">
        <v>1036</v>
      </c>
      <c r="F62" s="76" t="s">
        <v>1014</v>
      </c>
      <c r="G62" s="122">
        <v>46043</v>
      </c>
      <c r="H62" s="123" t="s">
        <v>958</v>
      </c>
      <c r="I62" s="155"/>
    </row>
    <row r="63" spans="1:9" ht="101.25" customHeight="1">
      <c r="A63" s="85" t="s">
        <v>381</v>
      </c>
      <c r="B63" s="87" t="s">
        <v>382</v>
      </c>
      <c r="C63" s="74" t="s">
        <v>1037</v>
      </c>
      <c r="D63" s="75" t="s">
        <v>1038</v>
      </c>
      <c r="E63" s="76" t="s">
        <v>1039</v>
      </c>
      <c r="F63" s="76" t="s">
        <v>1014</v>
      </c>
      <c r="G63" s="122">
        <v>46044</v>
      </c>
      <c r="H63" s="123" t="s">
        <v>958</v>
      </c>
      <c r="I63" s="155"/>
    </row>
    <row r="64" spans="1:9" ht="78">
      <c r="A64" s="85" t="s">
        <v>383</v>
      </c>
      <c r="B64" s="87" t="s">
        <v>384</v>
      </c>
      <c r="C64" s="74" t="s">
        <v>1029</v>
      </c>
      <c r="D64" s="75" t="s">
        <v>1040</v>
      </c>
      <c r="E64" s="76" t="s">
        <v>1041</v>
      </c>
      <c r="F64" s="76" t="s">
        <v>1014</v>
      </c>
      <c r="G64" s="122">
        <v>46042</v>
      </c>
      <c r="H64" s="123" t="s">
        <v>958</v>
      </c>
      <c r="I64" s="155"/>
    </row>
    <row r="65" spans="1:9" ht="51.95">
      <c r="A65" s="88" t="s">
        <v>389</v>
      </c>
      <c r="B65" s="150" t="s">
        <v>1042</v>
      </c>
      <c r="C65" s="74"/>
      <c r="D65" s="75"/>
      <c r="E65" s="76"/>
      <c r="F65" s="76" t="s">
        <v>1028</v>
      </c>
      <c r="G65" s="122">
        <v>46059</v>
      </c>
      <c r="H65" s="123" t="s">
        <v>1013</v>
      </c>
      <c r="I65" s="155"/>
    </row>
    <row r="66" spans="1:9" ht="90.95">
      <c r="A66" s="88" t="s">
        <v>391</v>
      </c>
      <c r="B66" s="150" t="s">
        <v>1043</v>
      </c>
      <c r="C66" s="74"/>
      <c r="D66" s="75"/>
      <c r="E66" s="76"/>
      <c r="F66" s="76" t="s">
        <v>1028</v>
      </c>
      <c r="G66" s="122">
        <v>46060</v>
      </c>
      <c r="H66" s="123" t="s">
        <v>1013</v>
      </c>
      <c r="I66" s="155"/>
    </row>
    <row r="67" spans="1:9" ht="78">
      <c r="A67" s="88" t="s">
        <v>393</v>
      </c>
      <c r="B67" s="89" t="s">
        <v>394</v>
      </c>
      <c r="C67" s="74"/>
      <c r="D67" s="75"/>
      <c r="E67" s="76"/>
      <c r="F67" s="76" t="s">
        <v>1028</v>
      </c>
      <c r="G67" s="122">
        <v>46061</v>
      </c>
      <c r="H67" s="123" t="s">
        <v>1013</v>
      </c>
      <c r="I67" s="155"/>
    </row>
    <row r="68" spans="1:9" ht="78">
      <c r="A68" s="90" t="s">
        <v>395</v>
      </c>
      <c r="B68" s="151" t="s">
        <v>1044</v>
      </c>
      <c r="C68" s="74"/>
      <c r="D68" s="75" t="s">
        <v>1045</v>
      </c>
      <c r="E68" s="76"/>
      <c r="F68" s="76" t="s">
        <v>1028</v>
      </c>
      <c r="G68" s="122">
        <v>46051</v>
      </c>
      <c r="H68" s="121" t="s">
        <v>997</v>
      </c>
      <c r="I68" s="155"/>
    </row>
    <row r="69" spans="1:9" ht="90.95">
      <c r="A69" s="90" t="s">
        <v>397</v>
      </c>
      <c r="B69" s="151" t="s">
        <v>1046</v>
      </c>
      <c r="C69" s="74"/>
      <c r="D69" s="75" t="s">
        <v>1047</v>
      </c>
      <c r="E69" s="76"/>
      <c r="F69" s="76" t="s">
        <v>1028</v>
      </c>
      <c r="G69" s="122">
        <v>46052</v>
      </c>
      <c r="H69" s="121" t="s">
        <v>997</v>
      </c>
      <c r="I69" s="155"/>
    </row>
    <row r="70" spans="1:9">
      <c r="A70" s="2"/>
      <c r="B70" s="2"/>
      <c r="C70" s="2"/>
      <c r="D70" s="2"/>
      <c r="E70" s="2"/>
    </row>
    <row r="71" spans="1:9">
      <c r="A71" s="2"/>
      <c r="B71" s="2"/>
      <c r="C71" s="2"/>
      <c r="D71" s="2"/>
      <c r="E71" s="2"/>
    </row>
    <row r="72" spans="1:9" ht="26.1">
      <c r="A72" s="22" t="s">
        <v>399</v>
      </c>
      <c r="B72" s="23"/>
      <c r="C72" s="41" t="s">
        <v>739</v>
      </c>
      <c r="D72" s="9" t="s">
        <v>740</v>
      </c>
      <c r="E72" s="40" t="s">
        <v>1</v>
      </c>
      <c r="F72" s="26" t="s">
        <v>949</v>
      </c>
      <c r="G72" s="26" t="s">
        <v>950</v>
      </c>
      <c r="H72" s="41" t="s">
        <v>951</v>
      </c>
      <c r="I72" s="40"/>
    </row>
    <row r="73" spans="1:9">
      <c r="A73" s="65" t="s">
        <v>400</v>
      </c>
      <c r="B73" s="72" t="s">
        <v>401</v>
      </c>
      <c r="C73" s="74"/>
      <c r="D73" s="72"/>
      <c r="E73" s="76"/>
      <c r="F73" s="76"/>
      <c r="G73" s="122">
        <v>46052</v>
      </c>
      <c r="H73" s="121"/>
      <c r="I73" s="155"/>
    </row>
    <row r="74" spans="1:9">
      <c r="A74" s="65" t="s">
        <v>403</v>
      </c>
      <c r="B74" s="72" t="s">
        <v>404</v>
      </c>
      <c r="C74" s="74"/>
      <c r="D74" s="72"/>
      <c r="E74" s="76"/>
      <c r="F74" s="76"/>
      <c r="G74" s="122">
        <v>46052</v>
      </c>
      <c r="H74" s="121"/>
      <c r="I74" s="155"/>
    </row>
    <row r="75" spans="1:9" ht="26.1">
      <c r="A75" s="65" t="s">
        <v>405</v>
      </c>
      <c r="B75" s="72" t="s">
        <v>406</v>
      </c>
      <c r="C75" s="74"/>
      <c r="D75" s="72"/>
      <c r="E75" s="76"/>
      <c r="F75" s="76"/>
      <c r="G75" s="122">
        <v>46052</v>
      </c>
      <c r="H75" s="121"/>
      <c r="I75" s="155"/>
    </row>
    <row r="76" spans="1:9">
      <c r="A76" s="65" t="s">
        <v>407</v>
      </c>
      <c r="B76" s="72" t="s">
        <v>408</v>
      </c>
      <c r="C76" s="74"/>
      <c r="D76" s="75"/>
      <c r="E76" s="76"/>
      <c r="F76" s="76"/>
      <c r="G76" s="122">
        <v>46052</v>
      </c>
      <c r="H76" s="121"/>
      <c r="I76" s="155"/>
    </row>
    <row r="77" spans="1:9">
      <c r="A77" s="65" t="s">
        <v>409</v>
      </c>
      <c r="B77" s="72" t="s">
        <v>410</v>
      </c>
      <c r="C77" s="74"/>
      <c r="D77" s="75"/>
      <c r="E77" s="76"/>
      <c r="F77" s="76"/>
      <c r="G77" s="122">
        <v>46052</v>
      </c>
      <c r="H77" s="121"/>
      <c r="I77" s="155"/>
    </row>
    <row r="78" spans="1:9">
      <c r="A78" s="2"/>
      <c r="B78" s="2"/>
      <c r="C78" s="2"/>
      <c r="D78" s="2"/>
      <c r="E78" s="2"/>
    </row>
    <row r="79" spans="1:9">
      <c r="A79" s="2"/>
      <c r="B79" s="2"/>
      <c r="C79" s="2"/>
      <c r="D79" s="2"/>
      <c r="E79" s="2"/>
    </row>
    <row r="80" spans="1:9" ht="26.1">
      <c r="A80" s="22" t="s">
        <v>411</v>
      </c>
      <c r="B80" s="23"/>
      <c r="C80" s="41" t="s">
        <v>739</v>
      </c>
      <c r="D80" s="9" t="s">
        <v>740</v>
      </c>
      <c r="E80" s="40" t="s">
        <v>1</v>
      </c>
      <c r="F80" s="26" t="s">
        <v>949</v>
      </c>
      <c r="G80" s="26" t="s">
        <v>950</v>
      </c>
      <c r="H80" s="41" t="s">
        <v>951</v>
      </c>
      <c r="I80" s="40"/>
    </row>
    <row r="81" spans="1:10" ht="261">
      <c r="A81" s="65" t="s">
        <v>412</v>
      </c>
      <c r="B81" s="72" t="s">
        <v>413</v>
      </c>
      <c r="C81" s="74" t="s">
        <v>1048</v>
      </c>
      <c r="D81" s="75" t="s">
        <v>1049</v>
      </c>
      <c r="E81" s="76" t="s">
        <v>1050</v>
      </c>
      <c r="F81" s="76" t="s">
        <v>1051</v>
      </c>
      <c r="G81" s="122">
        <v>46031</v>
      </c>
      <c r="H81" s="149" t="s">
        <v>958</v>
      </c>
      <c r="I81" s="155"/>
      <c r="J81" s="169" t="s">
        <v>1052</v>
      </c>
    </row>
    <row r="82" spans="1:10" ht="58.5" customHeight="1">
      <c r="A82" s="65" t="s">
        <v>414</v>
      </c>
      <c r="B82" s="72" t="s">
        <v>415</v>
      </c>
      <c r="C82" s="74"/>
      <c r="D82" s="75"/>
      <c r="E82" s="76"/>
      <c r="F82" s="76" t="s">
        <v>1051</v>
      </c>
      <c r="G82" s="122">
        <v>46050</v>
      </c>
      <c r="H82" s="123" t="s">
        <v>997</v>
      </c>
      <c r="I82" s="155"/>
    </row>
    <row r="83" spans="1:10">
      <c r="A83" s="2"/>
      <c r="B83" s="2"/>
      <c r="C83" s="2"/>
      <c r="D83" s="2"/>
      <c r="E83" s="2"/>
    </row>
    <row r="84" spans="1:10">
      <c r="A84" s="2"/>
      <c r="B84" s="2"/>
      <c r="C84" s="2"/>
      <c r="D84" s="2"/>
      <c r="E84" s="2"/>
    </row>
    <row r="85" spans="1:10">
      <c r="A85" s="2"/>
      <c r="B85" s="2"/>
      <c r="C85" s="2"/>
      <c r="D85" s="2"/>
      <c r="E85" s="2"/>
    </row>
    <row r="86" spans="1:10" ht="26.1">
      <c r="A86" s="68" t="s">
        <v>519</v>
      </c>
      <c r="B86" s="69"/>
      <c r="C86" s="70" t="s">
        <v>739</v>
      </c>
      <c r="D86" s="63" t="s">
        <v>740</v>
      </c>
      <c r="E86" s="71" t="s">
        <v>1</v>
      </c>
      <c r="F86" s="26" t="s">
        <v>949</v>
      </c>
      <c r="G86" s="26" t="s">
        <v>950</v>
      </c>
      <c r="H86" s="41" t="s">
        <v>951</v>
      </c>
      <c r="I86" s="40"/>
      <c r="J86" s="170" t="s">
        <v>953</v>
      </c>
    </row>
    <row r="87" spans="1:10" ht="304.5">
      <c r="A87" s="28" t="s">
        <v>520</v>
      </c>
      <c r="B87" s="66" t="s">
        <v>521</v>
      </c>
      <c r="C87" s="32" t="s">
        <v>1053</v>
      </c>
      <c r="D87" s="10" t="s">
        <v>1054</v>
      </c>
      <c r="E87" s="31" t="s">
        <v>1055</v>
      </c>
      <c r="F87" s="76" t="s">
        <v>1014</v>
      </c>
      <c r="G87" s="122">
        <v>46038</v>
      </c>
      <c r="H87" s="123" t="s">
        <v>958</v>
      </c>
      <c r="I87" s="155"/>
      <c r="J87" s="173" t="s">
        <v>1056</v>
      </c>
    </row>
    <row r="88" spans="1:10" ht="39">
      <c r="A88" s="28" t="s">
        <v>522</v>
      </c>
      <c r="B88" s="66" t="s">
        <v>523</v>
      </c>
      <c r="C88" s="32" t="s">
        <v>1057</v>
      </c>
      <c r="D88" s="10" t="s">
        <v>1058</v>
      </c>
      <c r="E88" s="31" t="s">
        <v>1059</v>
      </c>
      <c r="F88" s="76" t="s">
        <v>1014</v>
      </c>
      <c r="G88" s="122">
        <v>46038</v>
      </c>
      <c r="H88" s="123" t="s">
        <v>958</v>
      </c>
      <c r="I88" s="155"/>
    </row>
    <row r="89" spans="1:10" ht="30" customHeight="1">
      <c r="A89" s="28" t="s">
        <v>524</v>
      </c>
      <c r="B89" s="66" t="s">
        <v>525</v>
      </c>
      <c r="C89" s="32"/>
      <c r="D89" s="10" t="s">
        <v>1060</v>
      </c>
      <c r="E89" s="31" t="s">
        <v>1061</v>
      </c>
      <c r="F89" s="76" t="s">
        <v>1014</v>
      </c>
      <c r="G89" s="122">
        <v>46042</v>
      </c>
      <c r="H89" s="123" t="s">
        <v>958</v>
      </c>
      <c r="I89" s="155"/>
    </row>
    <row r="90" spans="1:10" ht="156">
      <c r="A90" s="28" t="s">
        <v>526</v>
      </c>
      <c r="B90" s="66" t="s">
        <v>527</v>
      </c>
      <c r="C90" s="32" t="s">
        <v>1053</v>
      </c>
      <c r="D90" s="10" t="s">
        <v>1054</v>
      </c>
      <c r="E90" s="31" t="s">
        <v>1062</v>
      </c>
      <c r="F90" s="76" t="s">
        <v>1014</v>
      </c>
      <c r="G90" s="122">
        <v>46038</v>
      </c>
      <c r="H90" s="123" t="s">
        <v>958</v>
      </c>
      <c r="I90" s="155"/>
    </row>
    <row r="91" spans="1:10" ht="156">
      <c r="A91" s="28" t="s">
        <v>528</v>
      </c>
      <c r="B91" s="67" t="s">
        <v>529</v>
      </c>
      <c r="C91" s="32" t="s">
        <v>1053</v>
      </c>
      <c r="D91" s="10" t="s">
        <v>1054</v>
      </c>
      <c r="E91" s="31" t="s">
        <v>1063</v>
      </c>
      <c r="F91" s="76" t="s">
        <v>1014</v>
      </c>
      <c r="G91" s="122">
        <v>46038</v>
      </c>
      <c r="H91" s="123" t="s">
        <v>958</v>
      </c>
      <c r="I91" s="155"/>
    </row>
    <row r="92" spans="1:10" ht="106.5" customHeight="1">
      <c r="A92" s="28" t="s">
        <v>530</v>
      </c>
      <c r="B92" s="67" t="s">
        <v>531</v>
      </c>
      <c r="C92" s="32" t="s">
        <v>1064</v>
      </c>
      <c r="D92" s="10" t="s">
        <v>1065</v>
      </c>
      <c r="E92" s="31" t="s">
        <v>1066</v>
      </c>
      <c r="F92" s="76" t="s">
        <v>1014</v>
      </c>
      <c r="G92" s="122">
        <v>46038</v>
      </c>
      <c r="H92" s="123" t="s">
        <v>958</v>
      </c>
      <c r="I92" s="155"/>
      <c r="J92" s="169" t="s">
        <v>1067</v>
      </c>
    </row>
    <row r="93" spans="1:10" ht="77.25" customHeight="1">
      <c r="A93" s="28" t="s">
        <v>532</v>
      </c>
      <c r="B93" s="67" t="s">
        <v>533</v>
      </c>
      <c r="C93" s="32" t="s">
        <v>1064</v>
      </c>
      <c r="D93" s="10" t="s">
        <v>1065</v>
      </c>
      <c r="E93" s="31" t="s">
        <v>1068</v>
      </c>
      <c r="F93" s="76" t="s">
        <v>1014</v>
      </c>
      <c r="G93" s="122">
        <v>46038</v>
      </c>
      <c r="H93" s="123" t="s">
        <v>958</v>
      </c>
      <c r="I93" s="155"/>
    </row>
    <row r="94" spans="1:10" ht="62.25" customHeight="1">
      <c r="A94" s="28" t="s">
        <v>534</v>
      </c>
      <c r="B94" s="67" t="s">
        <v>535</v>
      </c>
      <c r="C94" s="32" t="s">
        <v>1069</v>
      </c>
      <c r="D94" s="10" t="s">
        <v>1070</v>
      </c>
      <c r="E94" s="31" t="s">
        <v>1071</v>
      </c>
      <c r="F94" s="76" t="s">
        <v>1072</v>
      </c>
      <c r="G94" s="122">
        <v>46045</v>
      </c>
      <c r="H94" s="123" t="s">
        <v>958</v>
      </c>
      <c r="I94" s="155">
        <v>46048</v>
      </c>
    </row>
    <row r="95" spans="1:10" ht="27.75" customHeight="1">
      <c r="A95" s="28" t="s">
        <v>536</v>
      </c>
      <c r="B95" s="67" t="s">
        <v>537</v>
      </c>
      <c r="C95" s="32"/>
      <c r="D95" s="10"/>
      <c r="E95" s="31"/>
      <c r="F95" s="76" t="s">
        <v>1072</v>
      </c>
      <c r="G95" s="122">
        <v>46052</v>
      </c>
      <c r="H95" s="123" t="s">
        <v>1013</v>
      </c>
      <c r="I95" s="155"/>
    </row>
    <row r="96" spans="1:10" ht="52.5" customHeight="1">
      <c r="A96" s="28" t="s">
        <v>538</v>
      </c>
      <c r="B96" s="67" t="s">
        <v>539</v>
      </c>
      <c r="C96" s="32"/>
      <c r="D96" s="10"/>
      <c r="E96" s="31"/>
      <c r="F96" s="76" t="s">
        <v>1072</v>
      </c>
      <c r="G96" s="122">
        <v>46050</v>
      </c>
      <c r="H96" s="123" t="s">
        <v>1073</v>
      </c>
      <c r="I96" s="155"/>
    </row>
    <row r="97" spans="1:10" ht="101.45">
      <c r="A97" s="28" t="s">
        <v>540</v>
      </c>
      <c r="B97" s="67" t="s">
        <v>541</v>
      </c>
      <c r="C97" s="32"/>
      <c r="D97" s="10" t="s">
        <v>1074</v>
      </c>
      <c r="E97" s="31" t="s">
        <v>1075</v>
      </c>
      <c r="F97" s="76" t="s">
        <v>1076</v>
      </c>
      <c r="G97" s="122">
        <v>46031</v>
      </c>
      <c r="H97" s="123" t="s">
        <v>958</v>
      </c>
      <c r="I97" s="155"/>
      <c r="J97" s="176" t="s">
        <v>1077</v>
      </c>
    </row>
    <row r="98" spans="1:10">
      <c r="A98" s="28" t="s">
        <v>542</v>
      </c>
      <c r="B98" s="67" t="s">
        <v>543</v>
      </c>
      <c r="C98" s="32"/>
      <c r="D98" s="10"/>
      <c r="E98" s="31"/>
      <c r="F98" s="76" t="s">
        <v>1076</v>
      </c>
      <c r="G98" s="122">
        <v>46048</v>
      </c>
      <c r="H98" s="123" t="s">
        <v>997</v>
      </c>
      <c r="I98" s="155"/>
    </row>
    <row r="99" spans="1:10" ht="33" customHeight="1">
      <c r="A99" s="28" t="s">
        <v>544</v>
      </c>
      <c r="B99" s="67" t="s">
        <v>545</v>
      </c>
      <c r="C99" s="32"/>
      <c r="D99" s="10"/>
      <c r="E99" s="31"/>
      <c r="F99" s="76" t="s">
        <v>1076</v>
      </c>
      <c r="G99" s="122">
        <v>46049</v>
      </c>
      <c r="H99" s="123" t="s">
        <v>1013</v>
      </c>
      <c r="I99" s="155"/>
    </row>
    <row r="100" spans="1:10">
      <c r="A100" s="28" t="s">
        <v>546</v>
      </c>
      <c r="B100" s="67" t="s">
        <v>547</v>
      </c>
      <c r="C100" s="32"/>
      <c r="D100" s="10"/>
      <c r="E100" s="31"/>
      <c r="F100" s="76" t="s">
        <v>1076</v>
      </c>
      <c r="G100" s="122">
        <v>46050</v>
      </c>
      <c r="H100" s="123" t="s">
        <v>1013</v>
      </c>
      <c r="I100" s="155"/>
    </row>
    <row r="101" spans="1:10" ht="26.1">
      <c r="A101" s="28" t="s">
        <v>548</v>
      </c>
      <c r="B101" s="66" t="s">
        <v>549</v>
      </c>
      <c r="C101" s="32"/>
      <c r="D101" s="10"/>
      <c r="E101" s="31"/>
      <c r="F101" s="76" t="s">
        <v>1078</v>
      </c>
      <c r="G101" s="122">
        <v>46052</v>
      </c>
      <c r="H101" s="123" t="s">
        <v>1013</v>
      </c>
      <c r="I101" s="155"/>
    </row>
    <row r="102" spans="1:10" ht="26.1">
      <c r="A102" s="28" t="s">
        <v>550</v>
      </c>
      <c r="B102" s="66" t="s">
        <v>551</v>
      </c>
      <c r="C102" s="32"/>
      <c r="D102" s="10"/>
      <c r="E102" s="31"/>
      <c r="F102" s="76" t="s">
        <v>1078</v>
      </c>
      <c r="G102" s="122">
        <v>46052</v>
      </c>
      <c r="H102" s="123" t="s">
        <v>1013</v>
      </c>
      <c r="I102" s="155"/>
    </row>
    <row r="103" spans="1:10" ht="26.1">
      <c r="A103" s="28" t="s">
        <v>552</v>
      </c>
      <c r="B103" s="66" t="s">
        <v>553</v>
      </c>
      <c r="C103" s="32"/>
      <c r="D103" s="10"/>
      <c r="E103" s="31"/>
      <c r="F103" s="76" t="s">
        <v>1078</v>
      </c>
      <c r="G103" s="122">
        <v>46052</v>
      </c>
      <c r="H103" s="123" t="s">
        <v>1013</v>
      </c>
      <c r="I103" s="155"/>
    </row>
    <row r="104" spans="1:10" ht="26.1">
      <c r="A104" s="28" t="s">
        <v>554</v>
      </c>
      <c r="B104" s="66" t="s">
        <v>555</v>
      </c>
      <c r="C104" s="32"/>
      <c r="D104" s="10"/>
      <c r="E104" s="31"/>
      <c r="F104" s="76" t="s">
        <v>1078</v>
      </c>
      <c r="G104" s="122">
        <v>46052</v>
      </c>
      <c r="H104" s="123" t="s">
        <v>1013</v>
      </c>
      <c r="I104" s="155"/>
    </row>
    <row r="105" spans="1:10" ht="26.1">
      <c r="A105" s="28" t="s">
        <v>556</v>
      </c>
      <c r="B105" s="67" t="s">
        <v>557</v>
      </c>
      <c r="C105" s="32"/>
      <c r="D105" s="10"/>
      <c r="E105" s="31"/>
      <c r="F105" s="76" t="s">
        <v>1078</v>
      </c>
      <c r="G105" s="122">
        <v>46052</v>
      </c>
      <c r="H105" s="123" t="s">
        <v>1013</v>
      </c>
      <c r="I105" s="155"/>
    </row>
    <row r="106" spans="1:10" ht="261">
      <c r="A106" s="28" t="s">
        <v>558</v>
      </c>
      <c r="B106" s="67" t="s">
        <v>559</v>
      </c>
      <c r="C106" s="32" t="s">
        <v>1079</v>
      </c>
      <c r="D106" s="10" t="s">
        <v>1080</v>
      </c>
      <c r="E106" s="31" t="s">
        <v>1081</v>
      </c>
      <c r="F106" s="76" t="s">
        <v>1020</v>
      </c>
      <c r="G106" s="122">
        <v>46048</v>
      </c>
      <c r="H106" s="123" t="s">
        <v>958</v>
      </c>
      <c r="I106" s="155"/>
      <c r="J106" s="169" t="s">
        <v>1082</v>
      </c>
    </row>
    <row r="107" spans="1:10" ht="57.95">
      <c r="A107" s="28" t="s">
        <v>560</v>
      </c>
      <c r="B107" s="67" t="s">
        <v>561</v>
      </c>
      <c r="C107" s="32" t="s">
        <v>1079</v>
      </c>
      <c r="D107" s="10" t="s">
        <v>1080</v>
      </c>
      <c r="E107" s="31" t="s">
        <v>1083</v>
      </c>
      <c r="F107" s="76" t="s">
        <v>1020</v>
      </c>
      <c r="G107" s="122">
        <v>46048</v>
      </c>
      <c r="H107" s="123" t="s">
        <v>958</v>
      </c>
      <c r="I107" s="155"/>
    </row>
    <row r="108" spans="1:10" ht="57.95">
      <c r="A108" s="28" t="s">
        <v>562</v>
      </c>
      <c r="B108" s="67" t="s">
        <v>563</v>
      </c>
      <c r="C108" s="32" t="s">
        <v>1079</v>
      </c>
      <c r="D108" s="10" t="s">
        <v>1080</v>
      </c>
      <c r="E108" s="31" t="s">
        <v>1084</v>
      </c>
      <c r="F108" s="76" t="s">
        <v>1020</v>
      </c>
      <c r="G108" s="122">
        <v>46048</v>
      </c>
      <c r="H108" s="123" t="s">
        <v>997</v>
      </c>
      <c r="I108" s="155"/>
    </row>
    <row r="109" spans="1:10" ht="213">
      <c r="A109" s="28" t="s">
        <v>564</v>
      </c>
      <c r="B109" s="67" t="s">
        <v>565</v>
      </c>
      <c r="C109" s="95" t="s">
        <v>1085</v>
      </c>
      <c r="D109" s="75" t="s">
        <v>1086</v>
      </c>
      <c r="E109" s="76" t="s">
        <v>1087</v>
      </c>
      <c r="F109" s="76" t="s">
        <v>1051</v>
      </c>
      <c r="G109" s="122">
        <v>46038</v>
      </c>
      <c r="H109" s="149" t="s">
        <v>958</v>
      </c>
      <c r="I109" s="155"/>
    </row>
    <row r="110" spans="1:10" ht="213">
      <c r="A110" s="28" t="s">
        <v>566</v>
      </c>
      <c r="B110" s="67" t="s">
        <v>567</v>
      </c>
      <c r="C110" s="95" t="s">
        <v>1085</v>
      </c>
      <c r="D110" s="75" t="s">
        <v>1086</v>
      </c>
      <c r="E110" s="76" t="s">
        <v>1088</v>
      </c>
      <c r="F110" s="76" t="s">
        <v>1051</v>
      </c>
      <c r="G110" s="122">
        <v>46044</v>
      </c>
      <c r="H110" s="149" t="s">
        <v>958</v>
      </c>
      <c r="I110" s="155"/>
    </row>
    <row r="111" spans="1:10">
      <c r="A111" s="28" t="s">
        <v>568</v>
      </c>
      <c r="B111" s="67" t="s">
        <v>569</v>
      </c>
      <c r="C111" s="32"/>
      <c r="D111" s="10"/>
      <c r="E111" s="31"/>
      <c r="F111" s="76" t="s">
        <v>1051</v>
      </c>
      <c r="G111" s="122">
        <v>46050</v>
      </c>
      <c r="H111" s="123" t="s">
        <v>1013</v>
      </c>
      <c r="I111" s="155"/>
    </row>
    <row r="112" spans="1:10">
      <c r="A112" s="28" t="s">
        <v>570</v>
      </c>
      <c r="B112" s="67" t="s">
        <v>571</v>
      </c>
      <c r="C112" s="32"/>
      <c r="D112" s="10"/>
      <c r="E112" s="31"/>
      <c r="F112" s="76" t="s">
        <v>1051</v>
      </c>
      <c r="G112" s="122">
        <v>46048</v>
      </c>
      <c r="H112" s="123" t="s">
        <v>997</v>
      </c>
      <c r="I112" s="155"/>
    </row>
    <row r="113" spans="1:9" ht="81">
      <c r="A113" s="28" t="s">
        <v>572</v>
      </c>
      <c r="B113" s="66" t="s">
        <v>573</v>
      </c>
      <c r="C113" s="95" t="s">
        <v>1089</v>
      </c>
      <c r="D113" s="75" t="s">
        <v>1090</v>
      </c>
      <c r="E113" s="76" t="s">
        <v>1091</v>
      </c>
      <c r="F113" s="76" t="s">
        <v>1051</v>
      </c>
      <c r="G113" s="122">
        <v>46048</v>
      </c>
      <c r="H113" s="149" t="s">
        <v>958</v>
      </c>
      <c r="I113" s="155"/>
    </row>
    <row r="114" spans="1:9">
      <c r="A114" s="28" t="s">
        <v>574</v>
      </c>
      <c r="B114" s="67" t="s">
        <v>575</v>
      </c>
      <c r="C114" s="32"/>
      <c r="D114" s="10"/>
      <c r="E114" s="31"/>
      <c r="F114" s="76" t="s">
        <v>1051</v>
      </c>
      <c r="G114" s="122">
        <v>46052</v>
      </c>
      <c r="H114" s="123" t="s">
        <v>1013</v>
      </c>
      <c r="I114" s="155"/>
    </row>
    <row r="115" spans="1:9">
      <c r="A115" s="2"/>
      <c r="B115" s="2"/>
      <c r="C115" s="2"/>
      <c r="D115" s="2"/>
      <c r="E115" s="2"/>
    </row>
    <row r="116" spans="1:9">
      <c r="A116" s="2"/>
      <c r="B116" s="2"/>
      <c r="C116" s="2"/>
      <c r="D116" s="2"/>
      <c r="E116" s="2"/>
    </row>
    <row r="117" spans="1:9" ht="26.1">
      <c r="A117" s="22" t="s">
        <v>576</v>
      </c>
      <c r="B117" s="23"/>
      <c r="C117" s="41" t="s">
        <v>739</v>
      </c>
      <c r="D117" s="9" t="s">
        <v>740</v>
      </c>
      <c r="E117" s="40" t="s">
        <v>1</v>
      </c>
      <c r="F117" s="26" t="s">
        <v>949</v>
      </c>
      <c r="G117" s="26" t="s">
        <v>950</v>
      </c>
      <c r="H117" s="41" t="s">
        <v>1092</v>
      </c>
      <c r="I117" s="40"/>
    </row>
    <row r="118" spans="1:9">
      <c r="A118" s="65" t="s">
        <v>577</v>
      </c>
      <c r="B118" s="72" t="s">
        <v>578</v>
      </c>
      <c r="C118" s="74"/>
      <c r="D118" s="75"/>
      <c r="E118" s="76"/>
      <c r="F118" s="76" t="s">
        <v>1028</v>
      </c>
      <c r="G118" s="122">
        <v>46054</v>
      </c>
      <c r="H118" s="123" t="s">
        <v>1013</v>
      </c>
      <c r="I118" s="155"/>
    </row>
    <row r="119" spans="1:9" ht="26.1">
      <c r="A119" s="65" t="s">
        <v>579</v>
      </c>
      <c r="B119" s="72" t="s">
        <v>580</v>
      </c>
      <c r="C119" s="74"/>
      <c r="D119" s="75"/>
      <c r="E119" s="76"/>
      <c r="F119" s="76" t="s">
        <v>1028</v>
      </c>
      <c r="G119" s="122" t="s">
        <v>1093</v>
      </c>
      <c r="H119" s="123" t="s">
        <v>1013</v>
      </c>
      <c r="I119" s="155"/>
    </row>
    <row r="120" spans="1:9" ht="26.1">
      <c r="A120" s="65" t="s">
        <v>581</v>
      </c>
      <c r="B120" s="72" t="s">
        <v>582</v>
      </c>
      <c r="C120" s="74"/>
      <c r="D120" s="75"/>
      <c r="E120" s="76"/>
      <c r="F120" s="76" t="s">
        <v>1028</v>
      </c>
      <c r="G120" s="122">
        <v>46056</v>
      </c>
      <c r="H120" s="123" t="s">
        <v>1013</v>
      </c>
      <c r="I120" s="155"/>
    </row>
    <row r="121" spans="1:9" ht="43.5">
      <c r="A121" s="85" t="s">
        <v>583</v>
      </c>
      <c r="B121" s="87" t="s">
        <v>584</v>
      </c>
      <c r="C121" s="74"/>
      <c r="D121" s="75" t="s">
        <v>1094</v>
      </c>
      <c r="E121" s="76" t="s">
        <v>1095</v>
      </c>
      <c r="F121" s="76" t="s">
        <v>1076</v>
      </c>
      <c r="G121" s="122">
        <v>46049</v>
      </c>
      <c r="H121" s="149" t="s">
        <v>958</v>
      </c>
      <c r="I121" s="155"/>
    </row>
    <row r="122" spans="1:9" ht="43.5">
      <c r="A122" s="85" t="s">
        <v>586</v>
      </c>
      <c r="B122" s="87" t="s">
        <v>587</v>
      </c>
      <c r="C122" s="74"/>
      <c r="D122" s="75" t="s">
        <v>1094</v>
      </c>
      <c r="E122" s="76" t="s">
        <v>1096</v>
      </c>
      <c r="F122" s="76" t="s">
        <v>1076</v>
      </c>
      <c r="G122" s="122">
        <v>46049</v>
      </c>
      <c r="H122" s="149" t="s">
        <v>958</v>
      </c>
      <c r="I122" s="155"/>
    </row>
    <row r="123" spans="1:9" ht="57.95">
      <c r="A123" s="85" t="s">
        <v>588</v>
      </c>
      <c r="B123" s="87" t="s">
        <v>589</v>
      </c>
      <c r="C123" s="74"/>
      <c r="D123" s="75" t="s">
        <v>1097</v>
      </c>
      <c r="E123" s="76" t="s">
        <v>1098</v>
      </c>
      <c r="F123" s="76" t="s">
        <v>1076</v>
      </c>
      <c r="G123" s="122">
        <v>46049</v>
      </c>
      <c r="H123" s="149" t="s">
        <v>958</v>
      </c>
      <c r="I123" s="155"/>
    </row>
    <row r="124" spans="1:9">
      <c r="A124" s="2"/>
      <c r="B124" s="2"/>
      <c r="C124" s="2"/>
      <c r="D124" s="2"/>
      <c r="E124" s="2"/>
    </row>
    <row r="125" spans="1:9">
      <c r="A125" s="2"/>
      <c r="B125" s="2"/>
      <c r="C125" s="2"/>
      <c r="D125" s="2"/>
      <c r="E125" s="2"/>
    </row>
    <row r="126" spans="1:9" ht="26.1">
      <c r="A126" s="22" t="s">
        <v>590</v>
      </c>
      <c r="B126" s="23"/>
      <c r="C126" s="41" t="s">
        <v>739</v>
      </c>
      <c r="D126" s="9" t="s">
        <v>740</v>
      </c>
      <c r="E126" s="40" t="s">
        <v>1</v>
      </c>
      <c r="F126" s="26" t="s">
        <v>949</v>
      </c>
      <c r="G126" s="26" t="s">
        <v>950</v>
      </c>
      <c r="H126" s="41" t="s">
        <v>1092</v>
      </c>
      <c r="I126" s="40"/>
    </row>
    <row r="127" spans="1:9" ht="26.1">
      <c r="A127" s="65" t="s">
        <v>591</v>
      </c>
      <c r="B127" s="72" t="s">
        <v>592</v>
      </c>
      <c r="C127" s="74"/>
      <c r="D127" s="75"/>
      <c r="E127" s="76"/>
      <c r="F127" s="76"/>
      <c r="G127" s="122">
        <v>46052</v>
      </c>
      <c r="H127" s="121"/>
      <c r="I127" s="155"/>
    </row>
    <row r="128" spans="1:9">
      <c r="A128" s="2"/>
      <c r="B128" s="2"/>
      <c r="C128" s="2"/>
      <c r="D128" s="2"/>
      <c r="E128" s="2"/>
    </row>
    <row r="129" spans="1:10">
      <c r="A129" s="2"/>
      <c r="B129" s="2"/>
      <c r="C129" s="2"/>
      <c r="D129" s="2"/>
      <c r="E129" s="2"/>
    </row>
    <row r="130" spans="1:10" ht="26.1">
      <c r="A130" s="22" t="s">
        <v>593</v>
      </c>
      <c r="B130" s="23"/>
      <c r="C130" s="41" t="s">
        <v>739</v>
      </c>
      <c r="D130" s="9" t="s">
        <v>740</v>
      </c>
      <c r="E130" s="40" t="s">
        <v>1</v>
      </c>
      <c r="F130" s="26" t="s">
        <v>949</v>
      </c>
      <c r="G130" s="26" t="s">
        <v>950</v>
      </c>
      <c r="H130" s="41" t="s">
        <v>1092</v>
      </c>
      <c r="I130" s="40"/>
    </row>
    <row r="131" spans="1:10">
      <c r="A131" s="65" t="s">
        <v>594</v>
      </c>
      <c r="B131" s="72" t="s">
        <v>595</v>
      </c>
      <c r="C131" s="74"/>
      <c r="D131" s="75"/>
      <c r="E131" s="76" t="s">
        <v>1099</v>
      </c>
      <c r="F131" s="76" t="s">
        <v>1100</v>
      </c>
      <c r="G131" s="122">
        <v>46057</v>
      </c>
      <c r="H131" s="121" t="s">
        <v>997</v>
      </c>
      <c r="I131" s="155"/>
    </row>
    <row r="132" spans="1:10">
      <c r="A132" s="65" t="s">
        <v>596</v>
      </c>
      <c r="B132" s="72" t="s">
        <v>597</v>
      </c>
      <c r="C132" s="74"/>
      <c r="D132" s="75"/>
      <c r="E132" s="76" t="s">
        <v>1099</v>
      </c>
      <c r="F132" s="76" t="s">
        <v>1100</v>
      </c>
      <c r="G132" s="122">
        <v>46057</v>
      </c>
      <c r="H132" s="124" t="s">
        <v>997</v>
      </c>
      <c r="I132" s="155"/>
    </row>
    <row r="133" spans="1:10">
      <c r="A133" s="65" t="s">
        <v>598</v>
      </c>
      <c r="B133" s="72" t="s">
        <v>599</v>
      </c>
      <c r="C133" s="74"/>
      <c r="D133" s="75"/>
      <c r="E133" s="76" t="s">
        <v>1099</v>
      </c>
      <c r="F133" s="76" t="s">
        <v>1100</v>
      </c>
      <c r="G133" s="122">
        <v>46057</v>
      </c>
      <c r="H133" s="124" t="s">
        <v>997</v>
      </c>
      <c r="I133" s="155"/>
    </row>
    <row r="134" spans="1:10" ht="409.5">
      <c r="A134" s="65" t="s">
        <v>600</v>
      </c>
      <c r="B134" s="72" t="s">
        <v>601</v>
      </c>
      <c r="C134" s="74" t="s">
        <v>1101</v>
      </c>
      <c r="D134" s="75" t="s">
        <v>1102</v>
      </c>
      <c r="E134" s="76"/>
      <c r="F134" s="76" t="s">
        <v>1100</v>
      </c>
      <c r="G134" s="122">
        <v>46052</v>
      </c>
      <c r="H134" s="124" t="s">
        <v>958</v>
      </c>
      <c r="I134" s="155">
        <v>46043</v>
      </c>
      <c r="J134" s="169" t="s">
        <v>1103</v>
      </c>
    </row>
    <row r="135" spans="1:10" ht="117">
      <c r="A135" s="65" t="s">
        <v>602</v>
      </c>
      <c r="B135" s="72" t="s">
        <v>603</v>
      </c>
      <c r="C135" s="74" t="s">
        <v>1101</v>
      </c>
      <c r="D135" s="75" t="s">
        <v>1104</v>
      </c>
      <c r="E135" s="76"/>
      <c r="F135" s="76" t="s">
        <v>1100</v>
      </c>
      <c r="G135" s="122">
        <v>46031</v>
      </c>
      <c r="H135" s="125" t="s">
        <v>958</v>
      </c>
      <c r="I135" s="155">
        <v>46036</v>
      </c>
    </row>
    <row r="136" spans="1:10" ht="117">
      <c r="A136" s="65" t="s">
        <v>604</v>
      </c>
      <c r="B136" s="72" t="s">
        <v>605</v>
      </c>
      <c r="C136" s="74" t="s">
        <v>1101</v>
      </c>
      <c r="D136" s="75" t="s">
        <v>1104</v>
      </c>
      <c r="E136" s="76"/>
      <c r="F136" s="76" t="s">
        <v>1100</v>
      </c>
      <c r="G136" s="122">
        <v>46031</v>
      </c>
      <c r="H136" s="127" t="s">
        <v>958</v>
      </c>
      <c r="I136" s="155">
        <v>46036</v>
      </c>
    </row>
    <row r="137" spans="1:10" ht="117">
      <c r="A137" s="65" t="s">
        <v>606</v>
      </c>
      <c r="B137" s="72" t="s">
        <v>607</v>
      </c>
      <c r="C137" s="74" t="s">
        <v>1101</v>
      </c>
      <c r="D137" s="75" t="s">
        <v>1102</v>
      </c>
      <c r="E137" s="76"/>
      <c r="F137" s="76" t="s">
        <v>1100</v>
      </c>
      <c r="G137" s="122">
        <v>46052</v>
      </c>
      <c r="H137" s="124" t="s">
        <v>958</v>
      </c>
      <c r="I137" s="155">
        <v>46043</v>
      </c>
    </row>
    <row r="138" spans="1:10" ht="117">
      <c r="A138" s="65" t="s">
        <v>608</v>
      </c>
      <c r="B138" s="72" t="s">
        <v>609</v>
      </c>
      <c r="C138" s="74" t="s">
        <v>1105</v>
      </c>
      <c r="D138" s="75" t="s">
        <v>1106</v>
      </c>
      <c r="E138" s="76"/>
      <c r="F138" s="76" t="s">
        <v>1100</v>
      </c>
      <c r="G138" s="122">
        <v>46052</v>
      </c>
      <c r="H138" s="124" t="s">
        <v>958</v>
      </c>
      <c r="I138" s="155">
        <v>46043</v>
      </c>
    </row>
    <row r="139" spans="1:10" ht="57.95">
      <c r="A139" s="65" t="s">
        <v>610</v>
      </c>
      <c r="B139" s="72" t="s">
        <v>611</v>
      </c>
      <c r="C139" s="74"/>
      <c r="D139" s="75" t="s">
        <v>1107</v>
      </c>
      <c r="E139" s="76"/>
      <c r="F139" s="76" t="s">
        <v>1100</v>
      </c>
      <c r="G139" s="122">
        <v>46052</v>
      </c>
      <c r="H139" s="124" t="s">
        <v>958</v>
      </c>
      <c r="I139" s="155">
        <v>46043</v>
      </c>
    </row>
    <row r="140" spans="1:10" ht="117">
      <c r="A140" s="65" t="s">
        <v>612</v>
      </c>
      <c r="B140" s="72" t="s">
        <v>613</v>
      </c>
      <c r="C140" s="74" t="s">
        <v>1108</v>
      </c>
      <c r="D140" s="75" t="s">
        <v>1109</v>
      </c>
      <c r="E140" s="76"/>
      <c r="F140" s="76" t="s">
        <v>1100</v>
      </c>
      <c r="G140" s="122">
        <v>46052</v>
      </c>
      <c r="H140" s="124" t="s">
        <v>958</v>
      </c>
      <c r="I140" s="155">
        <v>46043</v>
      </c>
    </row>
    <row r="141" spans="1:10" ht="117">
      <c r="A141" s="65" t="s">
        <v>614</v>
      </c>
      <c r="B141" s="72" t="s">
        <v>615</v>
      </c>
      <c r="C141" s="74" t="s">
        <v>1108</v>
      </c>
      <c r="D141" s="75" t="s">
        <v>1110</v>
      </c>
      <c r="E141" s="76"/>
      <c r="F141" s="76" t="s">
        <v>1100</v>
      </c>
      <c r="G141" s="122">
        <v>46031</v>
      </c>
      <c r="H141" s="127" t="s">
        <v>958</v>
      </c>
      <c r="I141" s="155">
        <v>46036</v>
      </c>
    </row>
    <row r="142" spans="1:10" ht="104.1">
      <c r="A142" s="65" t="s">
        <v>616</v>
      </c>
      <c r="B142" s="72" t="s">
        <v>617</v>
      </c>
      <c r="C142" s="74" t="s">
        <v>1111</v>
      </c>
      <c r="D142" s="75" t="s">
        <v>1112</v>
      </c>
      <c r="E142" s="76"/>
      <c r="F142" s="76" t="s">
        <v>1100</v>
      </c>
      <c r="G142" s="122">
        <v>46052</v>
      </c>
      <c r="H142" s="126" t="s">
        <v>958</v>
      </c>
      <c r="I142" s="155">
        <v>46045</v>
      </c>
    </row>
    <row r="143" spans="1:10" ht="195">
      <c r="A143" s="65" t="s">
        <v>618</v>
      </c>
      <c r="B143" s="72" t="s">
        <v>619</v>
      </c>
      <c r="C143" s="74"/>
      <c r="D143" s="75"/>
      <c r="E143" s="76"/>
      <c r="F143" s="76" t="s">
        <v>1100</v>
      </c>
      <c r="G143" s="122">
        <v>46052</v>
      </c>
      <c r="H143" s="124" t="s">
        <v>958</v>
      </c>
      <c r="I143" s="155">
        <v>46036</v>
      </c>
    </row>
    <row r="144" spans="1:10">
      <c r="A144" s="65" t="s">
        <v>632</v>
      </c>
      <c r="B144" s="72" t="s">
        <v>633</v>
      </c>
      <c r="C144" s="74"/>
      <c r="D144" s="75"/>
      <c r="E144" s="76"/>
      <c r="F144" s="76" t="s">
        <v>1100</v>
      </c>
      <c r="G144" s="122">
        <v>46052</v>
      </c>
      <c r="H144" s="124" t="s">
        <v>1013</v>
      </c>
      <c r="I144" s="155"/>
    </row>
    <row r="145" spans="1:9">
      <c r="A145" s="65" t="s">
        <v>634</v>
      </c>
      <c r="B145" s="72" t="s">
        <v>635</v>
      </c>
      <c r="C145" s="74"/>
      <c r="D145" s="75"/>
      <c r="E145" s="76"/>
      <c r="F145" s="76" t="s">
        <v>1100</v>
      </c>
      <c r="G145" s="122">
        <v>46052</v>
      </c>
      <c r="H145" s="124" t="s">
        <v>997</v>
      </c>
      <c r="I145" s="155"/>
    </row>
    <row r="146" spans="1:9">
      <c r="A146" s="65" t="s">
        <v>642</v>
      </c>
      <c r="B146" s="72" t="s">
        <v>643</v>
      </c>
      <c r="C146" s="74"/>
      <c r="D146" s="75"/>
      <c r="E146" s="76"/>
      <c r="F146" s="76" t="s">
        <v>1100</v>
      </c>
      <c r="G146" s="122">
        <v>46052</v>
      </c>
      <c r="H146" s="124" t="s">
        <v>958</v>
      </c>
      <c r="I146" s="155">
        <v>46045</v>
      </c>
    </row>
    <row r="147" spans="1:9">
      <c r="A147" s="65" t="s">
        <v>644</v>
      </c>
      <c r="B147" s="72" t="s">
        <v>260</v>
      </c>
      <c r="C147" s="74"/>
      <c r="D147" s="75"/>
      <c r="E147" s="76"/>
      <c r="F147" s="76" t="s">
        <v>1100</v>
      </c>
      <c r="G147" s="122">
        <v>46050</v>
      </c>
      <c r="H147" s="124" t="s">
        <v>958</v>
      </c>
      <c r="I147" s="155">
        <v>46045</v>
      </c>
    </row>
    <row r="148" spans="1:9" ht="90.95">
      <c r="A148" s="65" t="s">
        <v>645</v>
      </c>
      <c r="B148" s="72" t="s">
        <v>646</v>
      </c>
      <c r="C148" s="74" t="s">
        <v>1113</v>
      </c>
      <c r="D148" s="75" t="s">
        <v>1114</v>
      </c>
      <c r="E148" s="76"/>
      <c r="F148" s="76" t="s">
        <v>1100</v>
      </c>
      <c r="G148" s="122">
        <v>46052</v>
      </c>
      <c r="H148" s="124" t="s">
        <v>958</v>
      </c>
      <c r="I148" s="155">
        <v>46045</v>
      </c>
    </row>
    <row r="149" spans="1:9">
      <c r="A149" s="65" t="s">
        <v>647</v>
      </c>
      <c r="B149" s="72" t="s">
        <v>648</v>
      </c>
      <c r="C149" s="74"/>
      <c r="D149" s="75"/>
      <c r="E149" s="76"/>
      <c r="F149" s="76" t="s">
        <v>1100</v>
      </c>
      <c r="G149" s="122">
        <v>46050</v>
      </c>
      <c r="H149" s="124" t="s">
        <v>958</v>
      </c>
      <c r="I149" s="155">
        <v>46049</v>
      </c>
    </row>
    <row r="150" spans="1:9" ht="65.099999999999994">
      <c r="A150" s="65" t="s">
        <v>649</v>
      </c>
      <c r="B150" s="72" t="s">
        <v>650</v>
      </c>
      <c r="C150" s="74" t="s">
        <v>1115</v>
      </c>
      <c r="D150" s="75" t="s">
        <v>1116</v>
      </c>
      <c r="E150" s="76"/>
      <c r="F150" s="76" t="s">
        <v>1100</v>
      </c>
      <c r="G150" s="122">
        <v>46052</v>
      </c>
      <c r="H150" s="124" t="s">
        <v>958</v>
      </c>
      <c r="I150" s="155">
        <v>46045</v>
      </c>
    </row>
    <row r="151" spans="1:9">
      <c r="A151" s="65" t="s">
        <v>651</v>
      </c>
      <c r="B151" s="72" t="s">
        <v>652</v>
      </c>
      <c r="C151" s="74"/>
      <c r="D151" s="75"/>
      <c r="E151" s="76"/>
      <c r="F151" s="76" t="s">
        <v>1100</v>
      </c>
      <c r="G151" s="122">
        <v>46050</v>
      </c>
      <c r="H151" s="124" t="s">
        <v>997</v>
      </c>
      <c r="I151" s="155"/>
    </row>
    <row r="152" spans="1:9">
      <c r="A152" s="65" t="s">
        <v>653</v>
      </c>
      <c r="B152" s="72" t="s">
        <v>654</v>
      </c>
      <c r="C152" s="74"/>
      <c r="D152" s="75"/>
      <c r="E152" s="76"/>
      <c r="F152" s="76" t="s">
        <v>1100</v>
      </c>
      <c r="G152" s="122">
        <v>46050</v>
      </c>
      <c r="H152" s="124" t="s">
        <v>958</v>
      </c>
      <c r="I152" s="155">
        <v>46049</v>
      </c>
    </row>
    <row r="153" spans="1:9">
      <c r="A153" s="65" t="s">
        <v>655</v>
      </c>
      <c r="B153" s="72" t="s">
        <v>656</v>
      </c>
      <c r="C153" s="74"/>
      <c r="D153" s="75"/>
      <c r="E153" s="76"/>
      <c r="F153" s="76" t="s">
        <v>1100</v>
      </c>
      <c r="G153" s="122">
        <v>46050</v>
      </c>
      <c r="H153" s="124" t="s">
        <v>958</v>
      </c>
      <c r="I153" s="155">
        <v>46049</v>
      </c>
    </row>
    <row r="154" spans="1:9">
      <c r="A154" s="65" t="s">
        <v>657</v>
      </c>
      <c r="B154" s="72" t="s">
        <v>658</v>
      </c>
      <c r="C154" s="74"/>
      <c r="D154" s="75"/>
      <c r="E154" s="76"/>
      <c r="F154" s="76" t="s">
        <v>1100</v>
      </c>
      <c r="G154" s="122">
        <v>46050</v>
      </c>
      <c r="H154" s="124" t="s">
        <v>958</v>
      </c>
      <c r="I154" s="155">
        <v>46049</v>
      </c>
    </row>
    <row r="155" spans="1:9">
      <c r="A155" s="65" t="s">
        <v>659</v>
      </c>
      <c r="B155" s="72" t="s">
        <v>660</v>
      </c>
      <c r="C155" s="74"/>
      <c r="D155" s="75"/>
      <c r="E155" s="76"/>
      <c r="F155" s="76" t="s">
        <v>1100</v>
      </c>
      <c r="G155" s="122">
        <v>46057</v>
      </c>
      <c r="H155" s="124" t="s">
        <v>958</v>
      </c>
      <c r="I155" s="155">
        <v>46049</v>
      </c>
    </row>
    <row r="156" spans="1:9" ht="26.1">
      <c r="A156" s="65" t="s">
        <v>661</v>
      </c>
      <c r="B156" s="72" t="s">
        <v>662</v>
      </c>
      <c r="C156" s="74"/>
      <c r="D156" s="75"/>
      <c r="E156" s="76"/>
      <c r="F156" s="76" t="s">
        <v>1100</v>
      </c>
      <c r="G156" s="122">
        <v>46057</v>
      </c>
      <c r="H156" s="124" t="s">
        <v>997</v>
      </c>
      <c r="I156" s="155"/>
    </row>
    <row r="157" spans="1:9">
      <c r="A157" s="65" t="s">
        <v>661</v>
      </c>
      <c r="B157" s="72" t="s">
        <v>665</v>
      </c>
      <c r="C157" s="74"/>
      <c r="D157" s="75"/>
      <c r="E157" s="76"/>
      <c r="F157" s="76" t="s">
        <v>1100</v>
      </c>
      <c r="G157" s="122">
        <v>46057</v>
      </c>
      <c r="H157" s="124" t="s">
        <v>997</v>
      </c>
      <c r="I157" s="155"/>
    </row>
    <row r="158" spans="1:9">
      <c r="A158" s="2"/>
      <c r="B158" s="2"/>
      <c r="C158" s="2"/>
      <c r="D158" s="2"/>
      <c r="E158" s="2"/>
    </row>
    <row r="159" spans="1:9">
      <c r="A159" s="2"/>
      <c r="B159" s="2"/>
      <c r="C159" s="2"/>
      <c r="D159" s="2"/>
      <c r="E159" s="2"/>
    </row>
  </sheetData>
  <autoFilter ref="F1:F159" xr:uid="{281ADC92-A5B0-49FB-8DC0-94B5F2067058}"/>
  <mergeCells count="8">
    <mergeCell ref="C12:C13"/>
    <mergeCell ref="D4:D5"/>
    <mergeCell ref="C4:C5"/>
    <mergeCell ref="C6:C7"/>
    <mergeCell ref="C8:C9"/>
    <mergeCell ref="C10:C11"/>
    <mergeCell ref="C24:C25"/>
    <mergeCell ref="C30:C31"/>
  </mergeCells>
  <hyperlinks>
    <hyperlink ref="C49" r:id="rId1" xr:uid="{B7C2E681-08C7-4761-93C9-7755D70F4D7C}"/>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F309-8186-49AD-AB86-D1ABD5639AC4}">
  <dimension ref="A1:H169"/>
  <sheetViews>
    <sheetView topLeftCell="A156" zoomScale="70" zoomScaleNormal="70" workbookViewId="0">
      <selection activeCell="D112" sqref="D112"/>
    </sheetView>
  </sheetViews>
  <sheetFormatPr defaultRowHeight="14.45"/>
  <cols>
    <col min="1" max="1" width="41.28515625" customWidth="1"/>
    <col min="2" max="2" width="58.85546875" customWidth="1"/>
    <col min="3" max="3" width="50.85546875" customWidth="1"/>
    <col min="4" max="4" width="71.85546875" style="2" customWidth="1"/>
    <col min="5" max="5" width="42.5703125" customWidth="1"/>
    <col min="7" max="7" width="12" customWidth="1"/>
    <col min="8" max="8" width="20.85546875" customWidth="1"/>
  </cols>
  <sheetData>
    <row r="1" spans="1:8" s="79" customFormat="1" ht="47.1" customHeight="1">
      <c r="A1" s="128" t="s">
        <v>33</v>
      </c>
      <c r="B1" s="129"/>
      <c r="C1" s="27" t="s">
        <v>739</v>
      </c>
      <c r="D1" s="9" t="s">
        <v>740</v>
      </c>
      <c r="E1" s="26" t="s">
        <v>1</v>
      </c>
      <c r="F1" s="26" t="s">
        <v>949</v>
      </c>
      <c r="G1" s="26" t="s">
        <v>950</v>
      </c>
      <c r="H1" s="41" t="s">
        <v>951</v>
      </c>
    </row>
    <row r="2" spans="1:8" s="2" customFormat="1" ht="51.95">
      <c r="A2" s="99" t="s">
        <v>44</v>
      </c>
      <c r="B2" s="97" t="s">
        <v>45</v>
      </c>
      <c r="C2" s="95" t="s">
        <v>741</v>
      </c>
      <c r="D2" s="96" t="s">
        <v>742</v>
      </c>
      <c r="E2" s="95" t="s">
        <v>743</v>
      </c>
      <c r="F2" s="76" t="s">
        <v>1117</v>
      </c>
      <c r="G2" s="120">
        <v>46031</v>
      </c>
      <c r="H2" s="121" t="s">
        <v>958</v>
      </c>
    </row>
    <row r="3" spans="1:8" s="2" customFormat="1" ht="39">
      <c r="A3" s="99" t="s">
        <v>48</v>
      </c>
      <c r="B3" s="97" t="s">
        <v>49</v>
      </c>
      <c r="C3" s="95" t="s">
        <v>741</v>
      </c>
      <c r="D3" s="96" t="s">
        <v>742</v>
      </c>
      <c r="E3" s="95" t="s">
        <v>744</v>
      </c>
      <c r="F3" s="76" t="s">
        <v>1117</v>
      </c>
      <c r="G3" s="120">
        <v>46031</v>
      </c>
      <c r="H3" s="121" t="s">
        <v>958</v>
      </c>
    </row>
    <row r="4" spans="1:8" s="2" customFormat="1" ht="39">
      <c r="A4" s="99" t="s">
        <v>51</v>
      </c>
      <c r="B4" s="97" t="s">
        <v>52</v>
      </c>
      <c r="C4" s="95"/>
      <c r="D4" s="96"/>
      <c r="E4" s="95" t="s">
        <v>745</v>
      </c>
      <c r="F4" s="76" t="s">
        <v>1117</v>
      </c>
      <c r="G4" s="120">
        <v>46031</v>
      </c>
      <c r="H4" s="121" t="s">
        <v>958</v>
      </c>
    </row>
    <row r="5" spans="1:8" s="2" customFormat="1" ht="51.95">
      <c r="A5" s="99" t="s">
        <v>53</v>
      </c>
      <c r="B5" s="97" t="s">
        <v>54</v>
      </c>
      <c r="C5" s="95" t="s">
        <v>746</v>
      </c>
      <c r="D5" s="96" t="s">
        <v>747</v>
      </c>
      <c r="E5" s="95" t="s">
        <v>748</v>
      </c>
      <c r="F5" s="76" t="s">
        <v>1117</v>
      </c>
      <c r="G5" s="120">
        <v>46032</v>
      </c>
      <c r="H5" s="121" t="s">
        <v>958</v>
      </c>
    </row>
    <row r="6" spans="1:8" s="2" customFormat="1" ht="39">
      <c r="A6" s="99" t="s">
        <v>55</v>
      </c>
      <c r="B6" s="97" t="s">
        <v>56</v>
      </c>
      <c r="C6" s="95" t="s">
        <v>746</v>
      </c>
      <c r="D6" s="96" t="s">
        <v>747</v>
      </c>
      <c r="E6" s="95" t="s">
        <v>749</v>
      </c>
      <c r="F6" s="76" t="s">
        <v>1117</v>
      </c>
      <c r="G6" s="120">
        <v>46031</v>
      </c>
      <c r="H6" s="121" t="s">
        <v>958</v>
      </c>
    </row>
    <row r="7" spans="1:8" s="2" customFormat="1">
      <c r="A7" s="77"/>
      <c r="B7" s="77"/>
      <c r="C7" s="77"/>
      <c r="D7" s="77"/>
      <c r="E7" s="77"/>
    </row>
    <row r="8" spans="1:8" s="2" customFormat="1">
      <c r="A8" s="77"/>
      <c r="B8" s="77"/>
      <c r="C8" s="77"/>
      <c r="D8" s="77"/>
      <c r="E8" s="77"/>
    </row>
    <row r="9" spans="1:8" ht="39">
      <c r="A9" s="24" t="s">
        <v>90</v>
      </c>
      <c r="B9" s="25"/>
      <c r="C9" s="27" t="s">
        <v>739</v>
      </c>
      <c r="D9" s="9" t="s">
        <v>740</v>
      </c>
      <c r="E9" s="26" t="s">
        <v>1</v>
      </c>
      <c r="F9" s="26" t="s">
        <v>949</v>
      </c>
      <c r="G9" s="26" t="s">
        <v>950</v>
      </c>
      <c r="H9" s="41" t="s">
        <v>951</v>
      </c>
    </row>
    <row r="10" spans="1:8">
      <c r="A10" s="65" t="s">
        <v>91</v>
      </c>
      <c r="B10" s="73" t="s">
        <v>92</v>
      </c>
      <c r="C10" s="74" t="s">
        <v>762</v>
      </c>
      <c r="D10" s="75" t="s">
        <v>753</v>
      </c>
      <c r="E10" s="76" t="s">
        <v>763</v>
      </c>
      <c r="F10" s="76" t="s">
        <v>1117</v>
      </c>
      <c r="G10" s="120">
        <v>46031</v>
      </c>
      <c r="H10" s="121" t="s">
        <v>958</v>
      </c>
    </row>
    <row r="11" spans="1:8">
      <c r="A11" s="65" t="s">
        <v>93</v>
      </c>
      <c r="B11" s="73" t="s">
        <v>94</v>
      </c>
      <c r="C11" s="74" t="s">
        <v>762</v>
      </c>
      <c r="D11" s="75" t="s">
        <v>753</v>
      </c>
      <c r="E11" s="76" t="s">
        <v>764</v>
      </c>
      <c r="F11" s="76" t="s">
        <v>1117</v>
      </c>
      <c r="G11" s="120">
        <v>46031</v>
      </c>
      <c r="H11" s="121" t="s">
        <v>958</v>
      </c>
    </row>
    <row r="12" spans="1:8">
      <c r="A12" s="65" t="s">
        <v>95</v>
      </c>
      <c r="B12" s="73" t="s">
        <v>96</v>
      </c>
      <c r="C12" s="74" t="s">
        <v>762</v>
      </c>
      <c r="D12" s="75" t="s">
        <v>753</v>
      </c>
      <c r="E12" s="76" t="s">
        <v>765</v>
      </c>
      <c r="F12" s="76" t="s">
        <v>1117</v>
      </c>
      <c r="G12" s="120">
        <v>46031</v>
      </c>
      <c r="H12" s="121" t="s">
        <v>958</v>
      </c>
    </row>
    <row r="13" spans="1:8">
      <c r="A13" s="65" t="s">
        <v>97</v>
      </c>
      <c r="B13" s="73" t="s">
        <v>98</v>
      </c>
      <c r="C13" s="74" t="s">
        <v>762</v>
      </c>
      <c r="D13" s="75" t="s">
        <v>753</v>
      </c>
      <c r="E13" s="76" t="s">
        <v>766</v>
      </c>
      <c r="F13" s="76" t="s">
        <v>1117</v>
      </c>
      <c r="G13" s="120">
        <v>46032</v>
      </c>
      <c r="H13" s="121" t="s">
        <v>958</v>
      </c>
    </row>
    <row r="14" spans="1:8" ht="26.1">
      <c r="A14" s="65" t="s">
        <v>99</v>
      </c>
      <c r="B14" s="73" t="s">
        <v>100</v>
      </c>
      <c r="C14" s="74" t="s">
        <v>762</v>
      </c>
      <c r="D14" s="75" t="s">
        <v>753</v>
      </c>
      <c r="E14" s="76" t="s">
        <v>767</v>
      </c>
      <c r="F14" s="76" t="s">
        <v>1117</v>
      </c>
      <c r="G14" s="120">
        <v>46031</v>
      </c>
      <c r="H14" s="121" t="s">
        <v>958</v>
      </c>
    </row>
    <row r="15" spans="1:8" ht="39">
      <c r="A15" s="65" t="s">
        <v>101</v>
      </c>
      <c r="B15" s="73" t="s">
        <v>102</v>
      </c>
      <c r="C15" s="74" t="s">
        <v>762</v>
      </c>
      <c r="D15" s="75" t="s">
        <v>753</v>
      </c>
      <c r="E15" s="76" t="s">
        <v>768</v>
      </c>
      <c r="F15" s="76" t="s">
        <v>1117</v>
      </c>
      <c r="G15" s="120">
        <v>46031</v>
      </c>
      <c r="H15" s="121" t="s">
        <v>958</v>
      </c>
    </row>
    <row r="16" spans="1:8">
      <c r="A16" s="77"/>
      <c r="B16" s="77"/>
      <c r="C16" s="78"/>
      <c r="D16" s="78"/>
      <c r="E16" s="77"/>
    </row>
    <row r="18" spans="1:8" ht="39">
      <c r="A18" s="24" t="s">
        <v>769</v>
      </c>
      <c r="B18" s="34"/>
      <c r="C18" s="62" t="s">
        <v>739</v>
      </c>
      <c r="D18" s="9" t="s">
        <v>740</v>
      </c>
      <c r="E18" s="64" t="s">
        <v>1</v>
      </c>
      <c r="F18" s="26" t="s">
        <v>949</v>
      </c>
      <c r="G18" s="26" t="s">
        <v>950</v>
      </c>
      <c r="H18" s="41" t="s">
        <v>951</v>
      </c>
    </row>
    <row r="19" spans="1:8" ht="26.1">
      <c r="A19" s="65" t="s">
        <v>105</v>
      </c>
      <c r="B19" s="73" t="s">
        <v>106</v>
      </c>
      <c r="C19" s="32"/>
      <c r="D19" s="75"/>
      <c r="E19" s="31"/>
      <c r="F19" s="76" t="s">
        <v>1117</v>
      </c>
      <c r="G19" s="120">
        <v>46031</v>
      </c>
      <c r="H19" s="121" t="s">
        <v>1013</v>
      </c>
    </row>
    <row r="20" spans="1:8" ht="26.1">
      <c r="A20" s="65" t="s">
        <v>108</v>
      </c>
      <c r="B20" s="73" t="s">
        <v>109</v>
      </c>
      <c r="C20" s="32"/>
      <c r="D20" s="75"/>
      <c r="E20" s="31"/>
      <c r="F20" s="76" t="s">
        <v>1117</v>
      </c>
      <c r="G20" s="120">
        <v>46031</v>
      </c>
      <c r="H20" s="121" t="s">
        <v>1013</v>
      </c>
    </row>
    <row r="21" spans="1:8" ht="26.1">
      <c r="A21" s="65" t="s">
        <v>110</v>
      </c>
      <c r="B21" s="73" t="s">
        <v>111</v>
      </c>
      <c r="C21" s="32"/>
      <c r="D21" s="75"/>
      <c r="E21" s="31"/>
      <c r="F21" s="76" t="s">
        <v>1117</v>
      </c>
      <c r="G21" s="120">
        <v>46031</v>
      </c>
      <c r="H21" s="121" t="s">
        <v>1013</v>
      </c>
    </row>
    <row r="22" spans="1:8" ht="26.1">
      <c r="A22" s="65" t="s">
        <v>112</v>
      </c>
      <c r="B22" s="73" t="s">
        <v>113</v>
      </c>
      <c r="C22" s="32"/>
      <c r="D22" s="75"/>
      <c r="E22" s="31"/>
      <c r="F22" s="76" t="s">
        <v>1117</v>
      </c>
      <c r="G22" s="120">
        <v>46031</v>
      </c>
      <c r="H22" s="121" t="s">
        <v>1013</v>
      </c>
    </row>
    <row r="23" spans="1:8" ht="26.1">
      <c r="A23" s="65" t="s">
        <v>114</v>
      </c>
      <c r="B23" s="73" t="s">
        <v>115</v>
      </c>
      <c r="C23" s="32"/>
      <c r="D23" s="75"/>
      <c r="E23" s="31"/>
      <c r="F23" s="76" t="s">
        <v>1117</v>
      </c>
      <c r="G23" s="120">
        <v>46031</v>
      </c>
      <c r="H23" s="121" t="s">
        <v>1013</v>
      </c>
    </row>
    <row r="24" spans="1:8" ht="26.1">
      <c r="A24" s="65" t="s">
        <v>116</v>
      </c>
      <c r="B24" s="73" t="s">
        <v>117</v>
      </c>
      <c r="C24" s="32"/>
      <c r="D24" s="75"/>
      <c r="E24" s="31"/>
      <c r="F24" s="76" t="s">
        <v>1117</v>
      </c>
      <c r="G24" s="120">
        <v>46031</v>
      </c>
      <c r="H24" s="121" t="s">
        <v>1013</v>
      </c>
    </row>
    <row r="25" spans="1:8">
      <c r="A25" s="65" t="s">
        <v>118</v>
      </c>
      <c r="B25" s="73" t="s">
        <v>119</v>
      </c>
      <c r="C25" s="32"/>
      <c r="D25" s="78"/>
      <c r="E25" s="31"/>
      <c r="F25" s="76" t="s">
        <v>1117</v>
      </c>
      <c r="G25" s="120">
        <v>46031</v>
      </c>
      <c r="H25" s="121" t="s">
        <v>1013</v>
      </c>
    </row>
    <row r="26" spans="1:8" ht="26.1">
      <c r="A26" s="65" t="s">
        <v>120</v>
      </c>
      <c r="B26" s="73" t="s">
        <v>121</v>
      </c>
      <c r="C26" s="32"/>
      <c r="D26" s="78"/>
      <c r="E26" s="31"/>
      <c r="F26" s="76" t="s">
        <v>1117</v>
      </c>
      <c r="G26" s="120">
        <v>46031</v>
      </c>
      <c r="H26" s="121" t="s">
        <v>1013</v>
      </c>
    </row>
    <row r="27" spans="1:8" ht="26.1">
      <c r="A27" s="65" t="s">
        <v>123</v>
      </c>
      <c r="B27" s="73" t="s">
        <v>124</v>
      </c>
      <c r="C27" s="32"/>
      <c r="D27" s="75"/>
      <c r="E27" s="31"/>
      <c r="F27" s="76" t="s">
        <v>1117</v>
      </c>
      <c r="G27" s="120">
        <v>46031</v>
      </c>
      <c r="H27" s="121" t="s">
        <v>1013</v>
      </c>
    </row>
    <row r="28" spans="1:8" ht="26.1">
      <c r="A28" s="65" t="s">
        <v>125</v>
      </c>
      <c r="B28" s="73" t="s">
        <v>126</v>
      </c>
      <c r="C28" s="32"/>
      <c r="D28" s="75"/>
      <c r="E28" s="31"/>
      <c r="F28" s="76" t="s">
        <v>1117</v>
      </c>
      <c r="G28" s="120">
        <v>46031</v>
      </c>
      <c r="H28" s="121" t="s">
        <v>1013</v>
      </c>
    </row>
    <row r="29" spans="1:8">
      <c r="A29" s="65" t="s">
        <v>128</v>
      </c>
      <c r="B29" s="73" t="s">
        <v>129</v>
      </c>
      <c r="C29" s="32"/>
      <c r="D29" s="78"/>
      <c r="E29" s="31"/>
      <c r="F29" s="76" t="s">
        <v>1117</v>
      </c>
      <c r="G29" s="120">
        <v>46031</v>
      </c>
      <c r="H29" s="121" t="s">
        <v>1013</v>
      </c>
    </row>
    <row r="32" spans="1:8" s="103" customFormat="1" ht="39.6">
      <c r="A32" s="104" t="s">
        <v>770</v>
      </c>
      <c r="B32" s="105"/>
      <c r="C32" s="100" t="s">
        <v>739</v>
      </c>
      <c r="D32" s="9" t="s">
        <v>740</v>
      </c>
      <c r="E32" s="100" t="s">
        <v>1</v>
      </c>
      <c r="F32" s="26" t="s">
        <v>949</v>
      </c>
      <c r="G32" s="26" t="s">
        <v>950</v>
      </c>
      <c r="H32" s="41" t="s">
        <v>951</v>
      </c>
    </row>
    <row r="33" spans="1:8" s="103" customFormat="1" ht="39.6">
      <c r="A33" s="106" t="s">
        <v>132</v>
      </c>
      <c r="B33" s="33" t="s">
        <v>133</v>
      </c>
      <c r="C33" s="101" t="s">
        <v>771</v>
      </c>
      <c r="D33" s="75" t="s">
        <v>742</v>
      </c>
      <c r="E33" s="102" t="s">
        <v>772</v>
      </c>
      <c r="F33" s="76" t="s">
        <v>1117</v>
      </c>
      <c r="G33" s="120">
        <v>46031</v>
      </c>
      <c r="H33" s="121" t="s">
        <v>958</v>
      </c>
    </row>
    <row r="34" spans="1:8" s="103" customFormat="1" ht="39.6">
      <c r="A34" s="106" t="s">
        <v>134</v>
      </c>
      <c r="B34" s="33" t="s">
        <v>135</v>
      </c>
      <c r="C34" s="101" t="s">
        <v>771</v>
      </c>
      <c r="D34" s="75" t="s">
        <v>773</v>
      </c>
      <c r="E34" s="102" t="s">
        <v>774</v>
      </c>
      <c r="F34" s="76" t="s">
        <v>1117</v>
      </c>
      <c r="G34" s="120">
        <v>46031</v>
      </c>
      <c r="H34" s="121" t="s">
        <v>958</v>
      </c>
    </row>
    <row r="35" spans="1:8" s="103" customFormat="1" ht="52.5">
      <c r="A35" s="106" t="s">
        <v>136</v>
      </c>
      <c r="B35" s="33" t="s">
        <v>137</v>
      </c>
      <c r="C35" s="101" t="s">
        <v>771</v>
      </c>
      <c r="D35" s="75" t="s">
        <v>775</v>
      </c>
      <c r="E35" s="102" t="s">
        <v>776</v>
      </c>
      <c r="F35" s="76" t="s">
        <v>1117</v>
      </c>
      <c r="G35" s="120">
        <v>46031</v>
      </c>
      <c r="H35" s="121" t="s">
        <v>958</v>
      </c>
    </row>
    <row r="36" spans="1:8" s="103" customFormat="1" ht="78.599999999999994">
      <c r="A36" s="106" t="s">
        <v>138</v>
      </c>
      <c r="B36" s="33" t="s">
        <v>139</v>
      </c>
      <c r="C36" s="101" t="s">
        <v>771</v>
      </c>
      <c r="D36" s="83" t="s">
        <v>742</v>
      </c>
      <c r="E36" s="102" t="s">
        <v>777</v>
      </c>
      <c r="F36" s="76" t="s">
        <v>1117</v>
      </c>
      <c r="G36" s="120">
        <v>46032</v>
      </c>
      <c r="H36" s="121" t="s">
        <v>958</v>
      </c>
    </row>
    <row r="37" spans="1:8" s="103" customFormat="1" ht="41.1" customHeight="1">
      <c r="A37" s="106" t="s">
        <v>140</v>
      </c>
      <c r="B37" s="33" t="s">
        <v>141</v>
      </c>
      <c r="C37" s="101"/>
      <c r="D37" s="83"/>
      <c r="E37" s="102"/>
      <c r="F37" s="76" t="s">
        <v>1117</v>
      </c>
      <c r="G37" s="120">
        <v>46031</v>
      </c>
      <c r="H37" s="121" t="s">
        <v>1013</v>
      </c>
    </row>
    <row r="38" spans="1:8" s="103" customFormat="1" ht="78.599999999999994">
      <c r="A38" s="106" t="s">
        <v>142</v>
      </c>
      <c r="B38" s="33" t="s">
        <v>143</v>
      </c>
      <c r="C38" s="98" t="s">
        <v>746</v>
      </c>
      <c r="D38" s="75" t="s">
        <v>747</v>
      </c>
      <c r="E38" s="102" t="s">
        <v>778</v>
      </c>
      <c r="F38" s="76" t="s">
        <v>1117</v>
      </c>
      <c r="G38" s="120">
        <v>46031</v>
      </c>
      <c r="H38" s="121" t="s">
        <v>958</v>
      </c>
    </row>
    <row r="39" spans="1:8" s="103" customFormat="1" ht="39.6">
      <c r="A39" s="106" t="s">
        <v>144</v>
      </c>
      <c r="B39" s="33" t="s">
        <v>145</v>
      </c>
      <c r="C39" s="98" t="s">
        <v>746</v>
      </c>
      <c r="D39" s="83" t="s">
        <v>747</v>
      </c>
      <c r="E39" s="102" t="s">
        <v>779</v>
      </c>
      <c r="F39" s="76" t="s">
        <v>1117</v>
      </c>
      <c r="G39" s="120">
        <v>46031</v>
      </c>
      <c r="H39" s="121" t="s">
        <v>958</v>
      </c>
    </row>
    <row r="40" spans="1:8" s="103" customFormat="1" ht="53.45" customHeight="1">
      <c r="A40" s="106" t="s">
        <v>146</v>
      </c>
      <c r="B40" s="33" t="s">
        <v>147</v>
      </c>
      <c r="C40" s="98" t="s">
        <v>746</v>
      </c>
      <c r="D40" s="83" t="s">
        <v>747</v>
      </c>
      <c r="E40" s="102" t="s">
        <v>780</v>
      </c>
      <c r="F40" s="76" t="s">
        <v>1117</v>
      </c>
      <c r="G40" s="120">
        <v>46031</v>
      </c>
      <c r="H40" s="121" t="s">
        <v>958</v>
      </c>
    </row>
    <row r="41" spans="1:8" s="103" customFormat="1" ht="59.1" customHeight="1">
      <c r="A41" s="106" t="s">
        <v>148</v>
      </c>
      <c r="B41" s="33" t="s">
        <v>149</v>
      </c>
      <c r="C41" s="101" t="s">
        <v>771</v>
      </c>
      <c r="D41" s="75" t="s">
        <v>781</v>
      </c>
      <c r="E41" s="102" t="s">
        <v>782</v>
      </c>
      <c r="F41" s="76" t="s">
        <v>1117</v>
      </c>
      <c r="G41" s="120">
        <v>46031</v>
      </c>
      <c r="H41" s="121" t="s">
        <v>958</v>
      </c>
    </row>
    <row r="42" spans="1:8" s="103" customFormat="1" ht="74.099999999999994" customHeight="1">
      <c r="A42" s="106" t="s">
        <v>150</v>
      </c>
      <c r="B42" s="33" t="s">
        <v>151</v>
      </c>
      <c r="C42" s="101" t="s">
        <v>771</v>
      </c>
      <c r="D42" s="83" t="s">
        <v>783</v>
      </c>
      <c r="E42" s="102" t="s">
        <v>784</v>
      </c>
      <c r="F42" s="76" t="s">
        <v>1117</v>
      </c>
      <c r="G42" s="120">
        <v>46031</v>
      </c>
      <c r="H42" s="121" t="s">
        <v>958</v>
      </c>
    </row>
    <row r="43" spans="1:8" s="103" customFormat="1" ht="63.6" customHeight="1">
      <c r="A43" s="106" t="s">
        <v>152</v>
      </c>
      <c r="B43" s="33" t="s">
        <v>153</v>
      </c>
      <c r="C43" s="101" t="s">
        <v>771</v>
      </c>
      <c r="D43" s="83" t="s">
        <v>785</v>
      </c>
      <c r="E43" s="102" t="s">
        <v>786</v>
      </c>
      <c r="F43" s="76" t="s">
        <v>1117</v>
      </c>
      <c r="G43" s="120">
        <v>46031</v>
      </c>
      <c r="H43" s="121" t="s">
        <v>958</v>
      </c>
    </row>
    <row r="44" spans="1:8" s="103" customFormat="1" ht="39.6">
      <c r="A44" s="106" t="s">
        <v>154</v>
      </c>
      <c r="B44" s="33" t="s">
        <v>155</v>
      </c>
      <c r="C44" s="101" t="s">
        <v>771</v>
      </c>
      <c r="D44" s="75" t="s">
        <v>787</v>
      </c>
      <c r="E44" s="102" t="s">
        <v>788</v>
      </c>
      <c r="F44" s="76" t="s">
        <v>1117</v>
      </c>
      <c r="G44" s="120">
        <v>46031</v>
      </c>
      <c r="H44" s="121" t="s">
        <v>958</v>
      </c>
    </row>
    <row r="45" spans="1:8" s="103" customFormat="1" ht="39.6">
      <c r="A45" s="106" t="s">
        <v>156</v>
      </c>
      <c r="B45" s="33" t="s">
        <v>157</v>
      </c>
      <c r="C45" s="101" t="s">
        <v>771</v>
      </c>
      <c r="D45" s="75" t="s">
        <v>742</v>
      </c>
      <c r="E45" s="102" t="s">
        <v>789</v>
      </c>
      <c r="F45" s="76" t="s">
        <v>1117</v>
      </c>
      <c r="G45" s="120">
        <v>46032</v>
      </c>
      <c r="H45" s="121" t="s">
        <v>958</v>
      </c>
    </row>
    <row r="46" spans="1:8" s="103" customFormat="1" ht="65.45">
      <c r="A46" s="106" t="s">
        <v>159</v>
      </c>
      <c r="B46" s="33" t="s">
        <v>160</v>
      </c>
      <c r="C46" s="101" t="s">
        <v>771</v>
      </c>
      <c r="D46" s="75" t="s">
        <v>790</v>
      </c>
      <c r="E46" s="102" t="s">
        <v>791</v>
      </c>
      <c r="F46" s="76" t="s">
        <v>1117</v>
      </c>
      <c r="G46" s="120">
        <v>46031</v>
      </c>
      <c r="H46" s="121" t="s">
        <v>958</v>
      </c>
    </row>
    <row r="47" spans="1:8" s="103" customFormat="1" ht="65.45">
      <c r="A47" s="106" t="s">
        <v>161</v>
      </c>
      <c r="B47" s="33" t="s">
        <v>162</v>
      </c>
      <c r="C47" s="101" t="s">
        <v>771</v>
      </c>
      <c r="D47" s="75" t="s">
        <v>792</v>
      </c>
      <c r="E47" s="102" t="s">
        <v>793</v>
      </c>
      <c r="F47" s="76" t="s">
        <v>1117</v>
      </c>
      <c r="G47" s="120">
        <v>46031</v>
      </c>
      <c r="H47" s="121" t="s">
        <v>958</v>
      </c>
    </row>
    <row r="48" spans="1:8" s="103" customFormat="1" ht="65.45">
      <c r="A48" s="106" t="s">
        <v>163</v>
      </c>
      <c r="B48" s="33" t="s">
        <v>164</v>
      </c>
      <c r="C48" s="101" t="s">
        <v>771</v>
      </c>
      <c r="D48" s="75" t="s">
        <v>794</v>
      </c>
      <c r="E48" s="102" t="s">
        <v>795</v>
      </c>
      <c r="F48" s="76" t="s">
        <v>1117</v>
      </c>
      <c r="G48" s="120">
        <v>46031</v>
      </c>
      <c r="H48" s="121" t="s">
        <v>958</v>
      </c>
    </row>
    <row r="49" spans="1:8" s="103" customFormat="1" ht="52.5">
      <c r="A49" s="106" t="s">
        <v>165</v>
      </c>
      <c r="B49" s="33" t="s">
        <v>166</v>
      </c>
      <c r="C49" s="101" t="s">
        <v>771</v>
      </c>
      <c r="D49" s="75" t="s">
        <v>796</v>
      </c>
      <c r="E49" s="102" t="s">
        <v>797</v>
      </c>
      <c r="F49" s="76" t="s">
        <v>1117</v>
      </c>
      <c r="G49" s="120">
        <v>46032</v>
      </c>
      <c r="H49" s="121" t="s">
        <v>958</v>
      </c>
    </row>
    <row r="50" spans="1:8" s="103" customFormat="1" ht="52.5">
      <c r="A50" s="106" t="s">
        <v>167</v>
      </c>
      <c r="B50" s="33" t="s">
        <v>168</v>
      </c>
      <c r="C50" s="101" t="s">
        <v>771</v>
      </c>
      <c r="D50" s="75" t="s">
        <v>798</v>
      </c>
      <c r="E50" s="102" t="s">
        <v>797</v>
      </c>
      <c r="F50" s="76" t="s">
        <v>1117</v>
      </c>
      <c r="G50" s="120">
        <v>46031</v>
      </c>
      <c r="H50" s="121" t="s">
        <v>958</v>
      </c>
    </row>
    <row r="51" spans="1:8" s="103" customFormat="1" ht="53.1" customHeight="1">
      <c r="A51" s="106" t="s">
        <v>169</v>
      </c>
      <c r="B51" s="33" t="s">
        <v>170</v>
      </c>
      <c r="C51" s="101" t="s">
        <v>771</v>
      </c>
      <c r="D51" s="75" t="s">
        <v>799</v>
      </c>
      <c r="E51" s="102" t="s">
        <v>800</v>
      </c>
      <c r="F51" s="76" t="s">
        <v>1117</v>
      </c>
      <c r="G51" s="120">
        <v>46031</v>
      </c>
      <c r="H51" s="121" t="s">
        <v>958</v>
      </c>
    </row>
    <row r="52" spans="1:8" s="103" customFormat="1" ht="63.6" customHeight="1">
      <c r="A52" s="106" t="s">
        <v>171</v>
      </c>
      <c r="B52" s="33" t="s">
        <v>172</v>
      </c>
      <c r="C52" s="101" t="s">
        <v>771</v>
      </c>
      <c r="D52" s="75" t="s">
        <v>801</v>
      </c>
      <c r="E52" s="102" t="s">
        <v>802</v>
      </c>
      <c r="F52" s="76" t="s">
        <v>1117</v>
      </c>
      <c r="G52" s="120">
        <v>46031</v>
      </c>
      <c r="H52" s="121" t="s">
        <v>958</v>
      </c>
    </row>
    <row r="55" spans="1:8" s="2" customFormat="1" ht="39">
      <c r="A55" s="24" t="s">
        <v>803</v>
      </c>
      <c r="B55" s="34"/>
      <c r="C55" s="62" t="s">
        <v>739</v>
      </c>
      <c r="D55" s="63" t="s">
        <v>740</v>
      </c>
      <c r="E55" s="64" t="s">
        <v>1</v>
      </c>
      <c r="F55" s="26" t="s">
        <v>949</v>
      </c>
      <c r="G55" s="26" t="s">
        <v>950</v>
      </c>
      <c r="H55" s="41" t="s">
        <v>951</v>
      </c>
    </row>
    <row r="56" spans="1:8" s="2" customFormat="1" ht="39">
      <c r="A56" s="65" t="s">
        <v>174</v>
      </c>
      <c r="B56" s="73" t="s">
        <v>175</v>
      </c>
      <c r="C56" s="32" t="s">
        <v>804</v>
      </c>
      <c r="D56" s="10" t="s">
        <v>805</v>
      </c>
      <c r="E56" s="31" t="s">
        <v>806</v>
      </c>
      <c r="F56" s="76" t="s">
        <v>1117</v>
      </c>
      <c r="G56" s="120">
        <v>46031</v>
      </c>
      <c r="H56" s="121" t="s">
        <v>958</v>
      </c>
    </row>
    <row r="57" spans="1:8" s="2" customFormat="1" ht="43.5">
      <c r="A57" s="65" t="s">
        <v>176</v>
      </c>
      <c r="B57" s="73" t="s">
        <v>177</v>
      </c>
      <c r="C57" s="32" t="s">
        <v>804</v>
      </c>
      <c r="D57" s="10" t="s">
        <v>807</v>
      </c>
      <c r="E57" s="31" t="s">
        <v>808</v>
      </c>
      <c r="F57" s="76" t="s">
        <v>1117</v>
      </c>
      <c r="G57" s="120">
        <v>46031</v>
      </c>
      <c r="H57" s="121" t="s">
        <v>958</v>
      </c>
    </row>
    <row r="58" spans="1:8" s="2" customFormat="1" ht="39">
      <c r="A58" s="65" t="s">
        <v>178</v>
      </c>
      <c r="B58" s="73" t="s">
        <v>809</v>
      </c>
      <c r="C58" s="32" t="s">
        <v>804</v>
      </c>
      <c r="D58" s="10" t="s">
        <v>810</v>
      </c>
      <c r="E58" s="31" t="s">
        <v>811</v>
      </c>
      <c r="F58" s="76" t="s">
        <v>1117</v>
      </c>
      <c r="G58" s="120">
        <v>46031</v>
      </c>
      <c r="H58" s="121" t="s">
        <v>958</v>
      </c>
    </row>
    <row r="59" spans="1:8" s="2" customFormat="1" ht="26.1" customHeight="1">
      <c r="A59" s="65" t="s">
        <v>180</v>
      </c>
      <c r="B59" s="73" t="s">
        <v>812</v>
      </c>
      <c r="C59" s="32" t="s">
        <v>804</v>
      </c>
      <c r="D59" s="10" t="s">
        <v>805</v>
      </c>
      <c r="E59" s="31" t="s">
        <v>813</v>
      </c>
      <c r="F59" s="76" t="s">
        <v>1117</v>
      </c>
      <c r="G59" s="120">
        <v>46032</v>
      </c>
      <c r="H59" s="121" t="s">
        <v>958</v>
      </c>
    </row>
    <row r="60" spans="1:8" s="2" customFormat="1" ht="39">
      <c r="A60" s="65" t="s">
        <v>182</v>
      </c>
      <c r="B60" s="73" t="s">
        <v>183</v>
      </c>
      <c r="C60" s="32" t="s">
        <v>804</v>
      </c>
      <c r="D60" s="10" t="s">
        <v>805</v>
      </c>
      <c r="E60" s="31" t="s">
        <v>814</v>
      </c>
      <c r="F60" s="76" t="s">
        <v>1117</v>
      </c>
      <c r="G60" s="120">
        <v>46031</v>
      </c>
      <c r="H60" s="121" t="s">
        <v>958</v>
      </c>
    </row>
    <row r="61" spans="1:8" s="2" customFormat="1" ht="39">
      <c r="A61" s="65" t="s">
        <v>184</v>
      </c>
      <c r="B61" s="73" t="s">
        <v>185</v>
      </c>
      <c r="C61" s="32" t="s">
        <v>804</v>
      </c>
      <c r="D61" s="10" t="s">
        <v>815</v>
      </c>
      <c r="E61" s="31" t="s">
        <v>816</v>
      </c>
      <c r="F61" s="76" t="s">
        <v>1117</v>
      </c>
      <c r="G61" s="120">
        <v>46031</v>
      </c>
      <c r="H61" s="121" t="s">
        <v>958</v>
      </c>
    </row>
    <row r="62" spans="1:8" s="2" customFormat="1" ht="39">
      <c r="A62" s="65" t="s">
        <v>186</v>
      </c>
      <c r="B62" s="73" t="s">
        <v>187</v>
      </c>
      <c r="C62" s="32" t="s">
        <v>804</v>
      </c>
      <c r="D62" s="10" t="s">
        <v>817</v>
      </c>
      <c r="E62" s="31" t="s">
        <v>818</v>
      </c>
      <c r="F62" s="76" t="s">
        <v>1117</v>
      </c>
      <c r="G62" s="120">
        <v>46031</v>
      </c>
      <c r="H62" s="121" t="s">
        <v>958</v>
      </c>
    </row>
    <row r="63" spans="1:8" s="2" customFormat="1" ht="51.95">
      <c r="A63" s="65" t="s">
        <v>188</v>
      </c>
      <c r="B63" s="92" t="s">
        <v>189</v>
      </c>
      <c r="C63" s="32" t="s">
        <v>804</v>
      </c>
      <c r="D63" s="66" t="s">
        <v>805</v>
      </c>
      <c r="E63" s="31" t="s">
        <v>819</v>
      </c>
      <c r="F63" s="76" t="s">
        <v>1117</v>
      </c>
      <c r="G63" s="120">
        <v>46031</v>
      </c>
      <c r="H63" s="121" t="s">
        <v>958</v>
      </c>
    </row>
    <row r="65" spans="1:8">
      <c r="A65" s="77"/>
      <c r="B65" s="77"/>
      <c r="C65" s="79"/>
      <c r="D65" s="78"/>
      <c r="E65" s="77"/>
    </row>
    <row r="66" spans="1:8" ht="39">
      <c r="A66" s="24" t="s">
        <v>190</v>
      </c>
      <c r="B66" s="25"/>
      <c r="C66" s="27" t="s">
        <v>739</v>
      </c>
      <c r="D66" s="9" t="s">
        <v>740</v>
      </c>
      <c r="E66" s="26" t="s">
        <v>1</v>
      </c>
      <c r="F66" s="26" t="s">
        <v>949</v>
      </c>
      <c r="G66" s="26" t="s">
        <v>950</v>
      </c>
      <c r="H66" s="41" t="s">
        <v>951</v>
      </c>
    </row>
    <row r="67" spans="1:8" ht="87">
      <c r="A67" s="65" t="s">
        <v>191</v>
      </c>
      <c r="B67" s="80" t="s">
        <v>192</v>
      </c>
      <c r="C67" s="74" t="s">
        <v>750</v>
      </c>
      <c r="D67" s="75" t="s">
        <v>820</v>
      </c>
      <c r="E67" s="76"/>
      <c r="F67" s="76" t="s">
        <v>1117</v>
      </c>
      <c r="G67" s="120">
        <v>46031</v>
      </c>
      <c r="H67" s="121" t="s">
        <v>958</v>
      </c>
    </row>
    <row r="68" spans="1:8" ht="26.1">
      <c r="A68" s="65" t="s">
        <v>193</v>
      </c>
      <c r="B68" s="73" t="s">
        <v>194</v>
      </c>
      <c r="C68" s="74"/>
      <c r="D68" s="75"/>
      <c r="E68" s="76"/>
      <c r="F68" s="76" t="s">
        <v>1117</v>
      </c>
      <c r="G68" s="120">
        <v>46031</v>
      </c>
      <c r="H68" s="121" t="s">
        <v>1013</v>
      </c>
    </row>
    <row r="69" spans="1:8" ht="188.45">
      <c r="A69" s="65" t="s">
        <v>195</v>
      </c>
      <c r="B69" s="80" t="s">
        <v>196</v>
      </c>
      <c r="C69" s="74" t="s">
        <v>750</v>
      </c>
      <c r="D69" s="75" t="s">
        <v>821</v>
      </c>
      <c r="E69" s="76"/>
      <c r="F69" s="76" t="s">
        <v>1117</v>
      </c>
      <c r="G69" s="120">
        <v>46031</v>
      </c>
      <c r="H69" s="121" t="s">
        <v>958</v>
      </c>
    </row>
    <row r="70" spans="1:8" ht="39">
      <c r="A70" s="65" t="s">
        <v>197</v>
      </c>
      <c r="B70" s="80" t="s">
        <v>198</v>
      </c>
      <c r="C70" s="74" t="s">
        <v>750</v>
      </c>
      <c r="D70" s="75"/>
      <c r="E70" s="76" t="s">
        <v>822</v>
      </c>
      <c r="F70" s="76" t="s">
        <v>1117</v>
      </c>
      <c r="G70" s="120">
        <v>46032</v>
      </c>
      <c r="H70" s="121" t="s">
        <v>1013</v>
      </c>
    </row>
    <row r="71" spans="1:8" ht="87">
      <c r="A71" s="65" t="s">
        <v>199</v>
      </c>
      <c r="B71" s="80" t="s">
        <v>200</v>
      </c>
      <c r="C71" s="74" t="s">
        <v>750</v>
      </c>
      <c r="D71" s="75" t="s">
        <v>823</v>
      </c>
      <c r="E71" s="76"/>
      <c r="F71" s="76" t="s">
        <v>1117</v>
      </c>
      <c r="G71" s="120">
        <v>46031</v>
      </c>
      <c r="H71" s="121" t="s">
        <v>958</v>
      </c>
    </row>
    <row r="72" spans="1:8" ht="87">
      <c r="A72" s="65" t="s">
        <v>201</v>
      </c>
      <c r="B72" s="80" t="s">
        <v>202</v>
      </c>
      <c r="C72" s="74" t="s">
        <v>750</v>
      </c>
      <c r="D72" s="75" t="s">
        <v>824</v>
      </c>
      <c r="E72" s="76"/>
      <c r="F72" s="76" t="s">
        <v>1117</v>
      </c>
      <c r="G72" s="120">
        <v>46031</v>
      </c>
      <c r="H72" s="121" t="s">
        <v>958</v>
      </c>
    </row>
    <row r="73" spans="1:8">
      <c r="A73" s="65" t="s">
        <v>203</v>
      </c>
      <c r="B73" s="80" t="s">
        <v>204</v>
      </c>
      <c r="C73" s="74" t="s">
        <v>825</v>
      </c>
      <c r="D73" s="75" t="s">
        <v>825</v>
      </c>
      <c r="E73" s="76" t="s">
        <v>826</v>
      </c>
      <c r="F73" s="76" t="s">
        <v>1117</v>
      </c>
      <c r="G73" s="120">
        <v>46031</v>
      </c>
      <c r="H73" s="121" t="s">
        <v>1013</v>
      </c>
    </row>
    <row r="74" spans="1:8">
      <c r="A74" s="65" t="s">
        <v>205</v>
      </c>
      <c r="B74" s="80" t="s">
        <v>206</v>
      </c>
      <c r="C74" s="74"/>
      <c r="D74" s="75"/>
      <c r="E74" s="76"/>
      <c r="F74" s="76" t="s">
        <v>1117</v>
      </c>
      <c r="G74" s="120">
        <v>46031</v>
      </c>
      <c r="H74" s="121" t="s">
        <v>1013</v>
      </c>
    </row>
    <row r="75" spans="1:8">
      <c r="A75" s="2"/>
      <c r="B75" s="2"/>
      <c r="C75" s="2"/>
      <c r="E75" s="2"/>
    </row>
    <row r="76" spans="1:8">
      <c r="A76" s="2"/>
      <c r="B76" s="2"/>
      <c r="C76" s="2"/>
      <c r="E76" s="2"/>
    </row>
    <row r="77" spans="1:8" s="2" customFormat="1" ht="39">
      <c r="A77" s="22" t="s">
        <v>428</v>
      </c>
      <c r="B77" s="23"/>
      <c r="C77" s="62" t="s">
        <v>739</v>
      </c>
      <c r="D77" s="63" t="s">
        <v>740</v>
      </c>
      <c r="E77" s="64" t="s">
        <v>1</v>
      </c>
      <c r="F77" s="26" t="s">
        <v>949</v>
      </c>
      <c r="G77" s="26" t="s">
        <v>950</v>
      </c>
      <c r="H77" s="41" t="s">
        <v>951</v>
      </c>
    </row>
    <row r="78" spans="1:8" s="2" customFormat="1" ht="78">
      <c r="A78" s="65" t="s">
        <v>429</v>
      </c>
      <c r="B78" s="72" t="s">
        <v>430</v>
      </c>
      <c r="C78" s="32" t="s">
        <v>871</v>
      </c>
      <c r="D78" s="10" t="s">
        <v>872</v>
      </c>
      <c r="E78" s="31" t="s">
        <v>873</v>
      </c>
      <c r="F78" s="76" t="s">
        <v>1117</v>
      </c>
      <c r="G78" s="120">
        <v>46031</v>
      </c>
      <c r="H78" s="121" t="s">
        <v>958</v>
      </c>
    </row>
    <row r="79" spans="1:8" s="2" customFormat="1">
      <c r="A79" s="65" t="s">
        <v>431</v>
      </c>
      <c r="B79" s="72" t="s">
        <v>432</v>
      </c>
      <c r="C79" s="32"/>
      <c r="D79" s="10"/>
      <c r="E79" s="31"/>
      <c r="F79" s="76" t="s">
        <v>1117</v>
      </c>
      <c r="G79" s="120">
        <v>46031</v>
      </c>
      <c r="H79" s="121" t="s">
        <v>958</v>
      </c>
    </row>
    <row r="80" spans="1:8" s="2" customFormat="1" ht="65.099999999999994">
      <c r="A80" s="65" t="s">
        <v>433</v>
      </c>
      <c r="B80" s="72" t="s">
        <v>434</v>
      </c>
      <c r="C80" s="32" t="s">
        <v>871</v>
      </c>
      <c r="D80" s="10" t="s">
        <v>874</v>
      </c>
      <c r="E80" s="31" t="s">
        <v>875</v>
      </c>
      <c r="F80" s="76" t="s">
        <v>1117</v>
      </c>
      <c r="G80" s="120">
        <v>46031</v>
      </c>
      <c r="H80" s="121" t="s">
        <v>958</v>
      </c>
    </row>
    <row r="81" spans="1:8" s="2" customFormat="1">
      <c r="A81" s="65" t="s">
        <v>435</v>
      </c>
      <c r="B81" s="72" t="s">
        <v>436</v>
      </c>
      <c r="C81" s="32"/>
      <c r="D81" s="10"/>
      <c r="E81" s="31"/>
      <c r="F81" s="76" t="s">
        <v>1117</v>
      </c>
      <c r="G81" s="120">
        <v>46032</v>
      </c>
      <c r="H81" s="121" t="s">
        <v>958</v>
      </c>
    </row>
    <row r="82" spans="1:8" s="2" customFormat="1" ht="90.95">
      <c r="A82" s="65" t="s">
        <v>437</v>
      </c>
      <c r="B82" s="72" t="s">
        <v>438</v>
      </c>
      <c r="C82" s="32" t="s">
        <v>871</v>
      </c>
      <c r="D82" s="10" t="s">
        <v>876</v>
      </c>
      <c r="E82" s="31" t="s">
        <v>877</v>
      </c>
      <c r="F82" s="76" t="s">
        <v>1117</v>
      </c>
      <c r="G82" s="120">
        <v>46031</v>
      </c>
      <c r="H82" s="121" t="s">
        <v>958</v>
      </c>
    </row>
    <row r="83" spans="1:8" s="2" customFormat="1" ht="65.099999999999994">
      <c r="A83" s="65" t="s">
        <v>439</v>
      </c>
      <c r="B83" s="72" t="s">
        <v>440</v>
      </c>
      <c r="C83" s="32" t="s">
        <v>871</v>
      </c>
      <c r="D83" s="10" t="s">
        <v>878</v>
      </c>
      <c r="E83" s="31" t="s">
        <v>879</v>
      </c>
      <c r="F83" s="76" t="s">
        <v>1117</v>
      </c>
      <c r="G83" s="120">
        <v>46031</v>
      </c>
      <c r="H83" s="121" t="s">
        <v>958</v>
      </c>
    </row>
    <row r="84" spans="1:8" s="2" customFormat="1" ht="65.099999999999994">
      <c r="A84" s="65" t="s">
        <v>441</v>
      </c>
      <c r="B84" s="72" t="s">
        <v>442</v>
      </c>
      <c r="C84" s="32" t="s">
        <v>871</v>
      </c>
      <c r="D84" s="10" t="s">
        <v>872</v>
      </c>
      <c r="E84" s="31" t="s">
        <v>880</v>
      </c>
      <c r="F84" s="76" t="s">
        <v>1117</v>
      </c>
      <c r="G84" s="120">
        <v>46031</v>
      </c>
      <c r="H84" s="121" t="s">
        <v>958</v>
      </c>
    </row>
    <row r="85" spans="1:8" s="2" customFormat="1" ht="65.099999999999994">
      <c r="A85" s="65" t="s">
        <v>443</v>
      </c>
      <c r="B85" s="72" t="s">
        <v>444</v>
      </c>
      <c r="C85" s="32" t="s">
        <v>871</v>
      </c>
      <c r="D85" s="10" t="s">
        <v>872</v>
      </c>
      <c r="E85" s="31" t="s">
        <v>881</v>
      </c>
      <c r="F85" s="76" t="s">
        <v>1117</v>
      </c>
      <c r="G85" s="120">
        <v>46031</v>
      </c>
      <c r="H85" s="121" t="s">
        <v>958</v>
      </c>
    </row>
    <row r="86" spans="1:8" s="2" customFormat="1" ht="65.099999999999994">
      <c r="A86" s="65" t="s">
        <v>445</v>
      </c>
      <c r="B86" s="72" t="s">
        <v>446</v>
      </c>
      <c r="C86" s="32" t="s">
        <v>871</v>
      </c>
      <c r="D86" s="10" t="s">
        <v>874</v>
      </c>
      <c r="E86" s="31" t="s">
        <v>882</v>
      </c>
      <c r="F86" s="76" t="s">
        <v>1117</v>
      </c>
      <c r="G86" s="120">
        <v>46031</v>
      </c>
      <c r="H86" s="121" t="s">
        <v>958</v>
      </c>
    </row>
    <row r="87" spans="1:8" s="2" customFormat="1">
      <c r="A87" s="65" t="s">
        <v>447</v>
      </c>
      <c r="B87" s="72" t="s">
        <v>448</v>
      </c>
      <c r="C87" s="32"/>
      <c r="D87" s="94"/>
      <c r="E87" s="31"/>
      <c r="F87" s="76" t="s">
        <v>1117</v>
      </c>
      <c r="G87" s="120">
        <v>46031</v>
      </c>
      <c r="H87" s="121" t="s">
        <v>958</v>
      </c>
    </row>
    <row r="88" spans="1:8" s="2" customFormat="1" ht="51.95">
      <c r="A88" s="65" t="s">
        <v>449</v>
      </c>
      <c r="B88" s="72" t="s">
        <v>450</v>
      </c>
      <c r="C88" s="32" t="s">
        <v>871</v>
      </c>
      <c r="D88" s="107" t="s">
        <v>872</v>
      </c>
      <c r="E88" s="108" t="s">
        <v>883</v>
      </c>
    </row>
    <row r="89" spans="1:8" s="2" customFormat="1" ht="51.95">
      <c r="A89" s="65" t="s">
        <v>451</v>
      </c>
      <c r="B89" s="72" t="s">
        <v>452</v>
      </c>
      <c r="C89" s="32" t="s">
        <v>871</v>
      </c>
      <c r="D89" s="32" t="s">
        <v>884</v>
      </c>
      <c r="E89" s="31"/>
      <c r="F89" s="76" t="s">
        <v>1117</v>
      </c>
      <c r="G89" s="120">
        <v>46031</v>
      </c>
      <c r="H89" s="121" t="s">
        <v>958</v>
      </c>
    </row>
    <row r="90" spans="1:8" s="2" customFormat="1" ht="51.95">
      <c r="A90" s="65" t="s">
        <v>453</v>
      </c>
      <c r="B90" s="72" t="s">
        <v>454</v>
      </c>
      <c r="C90" s="32" t="s">
        <v>871</v>
      </c>
      <c r="D90" s="32" t="s">
        <v>885</v>
      </c>
      <c r="E90" s="31"/>
      <c r="F90" s="76" t="s">
        <v>1117</v>
      </c>
      <c r="G90" s="120">
        <v>46031</v>
      </c>
      <c r="H90" s="121" t="s">
        <v>958</v>
      </c>
    </row>
    <row r="91" spans="1:8" s="2" customFormat="1" ht="51.95">
      <c r="A91" s="65" t="s">
        <v>455</v>
      </c>
      <c r="B91" s="72" t="s">
        <v>456</v>
      </c>
      <c r="C91" s="32" t="s">
        <v>871</v>
      </c>
      <c r="D91" s="32" t="s">
        <v>886</v>
      </c>
      <c r="E91" s="31"/>
      <c r="F91" s="76" t="s">
        <v>1117</v>
      </c>
      <c r="G91" s="120">
        <v>46031</v>
      </c>
      <c r="H91" s="121" t="s">
        <v>958</v>
      </c>
    </row>
    <row r="92" spans="1:8" s="2" customFormat="1" ht="57.95">
      <c r="A92" s="65" t="s">
        <v>457</v>
      </c>
      <c r="B92" s="72" t="s">
        <v>458</v>
      </c>
      <c r="C92" s="32" t="s">
        <v>871</v>
      </c>
      <c r="D92" s="109" t="s">
        <v>887</v>
      </c>
      <c r="E92" s="31"/>
      <c r="F92" s="76" t="s">
        <v>1117</v>
      </c>
      <c r="G92" s="120">
        <v>46031</v>
      </c>
      <c r="H92" s="121" t="s">
        <v>958</v>
      </c>
    </row>
    <row r="93" spans="1:8" s="2" customFormat="1" ht="51.95">
      <c r="A93" s="65" t="s">
        <v>459</v>
      </c>
      <c r="B93" s="72" t="s">
        <v>460</v>
      </c>
      <c r="C93" s="32" t="s">
        <v>871</v>
      </c>
      <c r="D93" s="10" t="s">
        <v>888</v>
      </c>
      <c r="E93" s="31"/>
      <c r="F93" s="76" t="s">
        <v>1117</v>
      </c>
      <c r="G93" s="120">
        <v>46031</v>
      </c>
      <c r="H93" s="121" t="s">
        <v>958</v>
      </c>
    </row>
    <row r="94" spans="1:8" s="2" customFormat="1" ht="26.1">
      <c r="A94" s="65" t="s">
        <v>461</v>
      </c>
      <c r="B94" s="72" t="s">
        <v>462</v>
      </c>
      <c r="C94" s="32"/>
      <c r="D94" s="10"/>
      <c r="E94" s="31"/>
      <c r="F94" s="76" t="s">
        <v>1117</v>
      </c>
      <c r="G94" s="120">
        <v>46031</v>
      </c>
      <c r="H94" s="121" t="s">
        <v>1013</v>
      </c>
    </row>
    <row r="95" spans="1:8" s="2" customFormat="1" ht="57.95">
      <c r="A95" s="65" t="s">
        <v>463</v>
      </c>
      <c r="B95" s="72" t="s">
        <v>464</v>
      </c>
      <c r="C95" s="32" t="s">
        <v>871</v>
      </c>
      <c r="D95" s="10" t="s">
        <v>889</v>
      </c>
      <c r="E95" s="31"/>
      <c r="F95" s="76" t="s">
        <v>1117</v>
      </c>
      <c r="G95" s="120">
        <v>46031</v>
      </c>
      <c r="H95" s="121" t="s">
        <v>958</v>
      </c>
    </row>
    <row r="96" spans="1:8" s="2" customFormat="1" ht="26.1">
      <c r="A96" s="65" t="s">
        <v>465</v>
      </c>
      <c r="B96" s="72" t="s">
        <v>466</v>
      </c>
      <c r="C96" s="32"/>
      <c r="D96" s="10"/>
      <c r="E96" s="31"/>
      <c r="F96" s="76" t="s">
        <v>1117</v>
      </c>
      <c r="G96" s="120">
        <v>46031</v>
      </c>
      <c r="H96" s="121" t="s">
        <v>1013</v>
      </c>
    </row>
    <row r="97" spans="1:8" s="2" customFormat="1">
      <c r="A97" s="65" t="s">
        <v>467</v>
      </c>
      <c r="B97" s="72" t="s">
        <v>468</v>
      </c>
      <c r="C97" s="32"/>
      <c r="D97" s="10"/>
      <c r="E97" s="31"/>
      <c r="F97" s="76" t="s">
        <v>1117</v>
      </c>
      <c r="G97" s="120">
        <v>46031</v>
      </c>
      <c r="H97" s="121" t="s">
        <v>1013</v>
      </c>
    </row>
    <row r="98" spans="1:8" s="2" customFormat="1" ht="51.95">
      <c r="A98" s="65" t="s">
        <v>469</v>
      </c>
      <c r="B98" s="72" t="s">
        <v>470</v>
      </c>
      <c r="C98" s="32" t="s">
        <v>871</v>
      </c>
      <c r="D98" s="10" t="s">
        <v>890</v>
      </c>
      <c r="E98" s="31"/>
      <c r="F98" s="76" t="s">
        <v>1117</v>
      </c>
      <c r="G98" s="120">
        <v>46031</v>
      </c>
      <c r="H98" s="121" t="s">
        <v>958</v>
      </c>
    </row>
    <row r="99" spans="1:8" s="2" customFormat="1" ht="51.95">
      <c r="A99" s="65" t="s">
        <v>471</v>
      </c>
      <c r="B99" s="72" t="s">
        <v>472</v>
      </c>
      <c r="C99" s="32" t="s">
        <v>871</v>
      </c>
      <c r="D99" s="10" t="s">
        <v>890</v>
      </c>
      <c r="E99" s="31"/>
      <c r="F99" s="76" t="s">
        <v>1117</v>
      </c>
      <c r="G99" s="120">
        <v>46031</v>
      </c>
      <c r="H99" s="121" t="s">
        <v>958</v>
      </c>
    </row>
    <row r="100" spans="1:8" s="2" customFormat="1" ht="26.1" customHeight="1">
      <c r="A100" s="65" t="s">
        <v>473</v>
      </c>
      <c r="B100" s="72" t="s">
        <v>474</v>
      </c>
      <c r="C100" s="32" t="s">
        <v>871</v>
      </c>
      <c r="D100" s="10" t="s">
        <v>890</v>
      </c>
      <c r="E100" s="31"/>
      <c r="F100" s="76" t="s">
        <v>1117</v>
      </c>
      <c r="G100" s="120">
        <v>46031</v>
      </c>
      <c r="H100" s="121" t="s">
        <v>958</v>
      </c>
    </row>
    <row r="101" spans="1:8" s="2" customFormat="1" ht="51.95">
      <c r="A101" s="65" t="s">
        <v>475</v>
      </c>
      <c r="B101" s="72" t="s">
        <v>476</v>
      </c>
      <c r="C101" s="32" t="s">
        <v>871</v>
      </c>
      <c r="D101" s="10" t="s">
        <v>891</v>
      </c>
      <c r="E101" s="31"/>
      <c r="F101" s="76" t="s">
        <v>1117</v>
      </c>
      <c r="G101" s="120">
        <v>46031</v>
      </c>
      <c r="H101" s="121" t="s">
        <v>958</v>
      </c>
    </row>
    <row r="102" spans="1:8" s="2" customFormat="1" ht="26.1" customHeight="1">
      <c r="A102" s="65" t="s">
        <v>477</v>
      </c>
      <c r="B102" s="72" t="s">
        <v>478</v>
      </c>
      <c r="C102" s="32"/>
      <c r="D102" s="10"/>
      <c r="E102" s="31"/>
      <c r="F102" s="76" t="s">
        <v>1117</v>
      </c>
      <c r="G102" s="120">
        <v>46031</v>
      </c>
      <c r="H102" s="121" t="s">
        <v>958</v>
      </c>
    </row>
    <row r="103" spans="1:8" s="2" customFormat="1" ht="51.95">
      <c r="A103" s="65" t="s">
        <v>479</v>
      </c>
      <c r="B103" s="72" t="s">
        <v>480</v>
      </c>
      <c r="C103" s="32" t="s">
        <v>871</v>
      </c>
      <c r="D103" s="10" t="s">
        <v>892</v>
      </c>
      <c r="E103" s="31"/>
      <c r="F103" s="76" t="s">
        <v>1117</v>
      </c>
      <c r="G103" s="120">
        <v>46031</v>
      </c>
      <c r="H103" s="121" t="s">
        <v>958</v>
      </c>
    </row>
    <row r="104" spans="1:8" s="2" customFormat="1" ht="51.95">
      <c r="A104" s="65" t="s">
        <v>481</v>
      </c>
      <c r="B104" s="110" t="s">
        <v>482</v>
      </c>
      <c r="C104" s="32" t="s">
        <v>871</v>
      </c>
      <c r="D104" s="10" t="s">
        <v>893</v>
      </c>
      <c r="E104" s="31"/>
      <c r="F104" s="76" t="s">
        <v>1117</v>
      </c>
      <c r="G104" s="120">
        <v>46031</v>
      </c>
      <c r="H104" s="121" t="s">
        <v>958</v>
      </c>
    </row>
    <row r="105" spans="1:8" s="2" customFormat="1" ht="26.1">
      <c r="A105" s="65" t="s">
        <v>483</v>
      </c>
      <c r="B105" s="72" t="s">
        <v>484</v>
      </c>
      <c r="C105" s="32"/>
      <c r="D105" s="10" t="s">
        <v>894</v>
      </c>
      <c r="E105" s="31"/>
      <c r="F105" s="76" t="s">
        <v>1117</v>
      </c>
      <c r="G105" s="120">
        <v>46031</v>
      </c>
      <c r="H105" s="121" t="s">
        <v>958</v>
      </c>
    </row>
    <row r="106" spans="1:8">
      <c r="A106" s="2"/>
      <c r="B106" s="2"/>
      <c r="C106" s="2"/>
      <c r="E106" s="2"/>
    </row>
    <row r="107" spans="1:8">
      <c r="A107" s="2"/>
      <c r="B107" s="2"/>
      <c r="C107" s="2"/>
      <c r="E107" s="2"/>
    </row>
    <row r="108" spans="1:8" s="2" customFormat="1" ht="39">
      <c r="A108" s="22" t="s">
        <v>895</v>
      </c>
      <c r="B108" s="23"/>
      <c r="C108" s="62" t="s">
        <v>739</v>
      </c>
      <c r="D108" s="63" t="s">
        <v>740</v>
      </c>
      <c r="E108" s="64" t="s">
        <v>1</v>
      </c>
      <c r="F108" s="26" t="s">
        <v>949</v>
      </c>
      <c r="G108" s="26" t="s">
        <v>950</v>
      </c>
      <c r="H108" s="41" t="s">
        <v>951</v>
      </c>
    </row>
    <row r="109" spans="1:8" s="2" customFormat="1" ht="68.45" customHeight="1">
      <c r="A109" s="65" t="s">
        <v>896</v>
      </c>
      <c r="B109" s="72" t="s">
        <v>897</v>
      </c>
      <c r="C109" s="32"/>
      <c r="D109" s="10"/>
      <c r="E109" s="31"/>
      <c r="F109" s="76" t="s">
        <v>1117</v>
      </c>
      <c r="G109" s="120">
        <v>46031</v>
      </c>
      <c r="H109" s="121" t="s">
        <v>1013</v>
      </c>
    </row>
    <row r="110" spans="1:8" s="2" customFormat="1" ht="26.1" customHeight="1">
      <c r="A110" s="65" t="s">
        <v>898</v>
      </c>
      <c r="B110" s="72" t="s">
        <v>489</v>
      </c>
      <c r="C110" s="32"/>
      <c r="D110" s="10"/>
      <c r="E110" s="31"/>
      <c r="F110" s="76" t="s">
        <v>1117</v>
      </c>
      <c r="G110" s="120">
        <v>46031</v>
      </c>
      <c r="H110" s="121" t="s">
        <v>1013</v>
      </c>
    </row>
    <row r="111" spans="1:8" s="2" customFormat="1" ht="76.5" customHeight="1">
      <c r="A111" s="65" t="s">
        <v>899</v>
      </c>
      <c r="B111" s="72" t="s">
        <v>491</v>
      </c>
      <c r="C111" s="32"/>
      <c r="D111" s="10"/>
      <c r="E111" s="31"/>
      <c r="F111" s="76" t="s">
        <v>1117</v>
      </c>
      <c r="G111" s="120">
        <v>46031</v>
      </c>
      <c r="H111" s="121" t="s">
        <v>1013</v>
      </c>
    </row>
    <row r="112" spans="1:8" s="2" customFormat="1" ht="56.45" customHeight="1">
      <c r="A112" s="65" t="s">
        <v>900</v>
      </c>
      <c r="B112" s="72" t="s">
        <v>493</v>
      </c>
      <c r="C112" s="32"/>
      <c r="D112" s="10" t="s">
        <v>901</v>
      </c>
      <c r="E112" s="31" t="s">
        <v>902</v>
      </c>
      <c r="F112" s="76" t="s">
        <v>1117</v>
      </c>
      <c r="G112" s="120">
        <v>46032</v>
      </c>
      <c r="H112" s="121" t="s">
        <v>958</v>
      </c>
    </row>
    <row r="113" spans="1:8" s="2" customFormat="1" ht="90.6" customHeight="1">
      <c r="A113" s="65" t="s">
        <v>903</v>
      </c>
      <c r="B113" s="72" t="s">
        <v>904</v>
      </c>
      <c r="C113" s="32"/>
      <c r="D113" s="10"/>
      <c r="E113" s="31"/>
      <c r="F113" s="76" t="s">
        <v>1117</v>
      </c>
      <c r="G113" s="120">
        <v>46031</v>
      </c>
      <c r="H113" s="121" t="s">
        <v>1013</v>
      </c>
    </row>
    <row r="114" spans="1:8" s="2" customFormat="1" ht="107.45" customHeight="1">
      <c r="A114" s="85" t="s">
        <v>905</v>
      </c>
      <c r="B114" s="87" t="s">
        <v>906</v>
      </c>
      <c r="C114" s="32"/>
      <c r="D114" s="10" t="s">
        <v>907</v>
      </c>
      <c r="E114" s="31"/>
      <c r="F114" s="76" t="s">
        <v>1117</v>
      </c>
      <c r="G114" s="120">
        <v>46031</v>
      </c>
      <c r="H114" s="121" t="s">
        <v>958</v>
      </c>
    </row>
    <row r="115" spans="1:8" s="2" customFormat="1" ht="26.1" customHeight="1">
      <c r="A115" s="85" t="s">
        <v>908</v>
      </c>
      <c r="B115" s="87" t="s">
        <v>909</v>
      </c>
      <c r="C115" s="32"/>
      <c r="D115" s="10"/>
      <c r="E115" s="31"/>
      <c r="F115" s="76" t="s">
        <v>1117</v>
      </c>
      <c r="G115" s="120">
        <v>46031</v>
      </c>
      <c r="H115" s="121" t="s">
        <v>1013</v>
      </c>
    </row>
    <row r="116" spans="1:8" s="2" customFormat="1" ht="26.1" customHeight="1">
      <c r="A116" s="85" t="s">
        <v>910</v>
      </c>
      <c r="B116" s="87" t="s">
        <v>911</v>
      </c>
      <c r="C116" s="32"/>
      <c r="D116" s="10"/>
      <c r="E116" s="31"/>
      <c r="F116" s="76" t="s">
        <v>1117</v>
      </c>
      <c r="G116" s="120">
        <v>46031</v>
      </c>
      <c r="H116" s="121" t="s">
        <v>1013</v>
      </c>
    </row>
    <row r="117" spans="1:8" s="2" customFormat="1" ht="39" customHeight="1">
      <c r="A117" s="88" t="s">
        <v>912</v>
      </c>
      <c r="B117" s="89" t="s">
        <v>913</v>
      </c>
      <c r="C117" s="32"/>
      <c r="D117" s="10"/>
      <c r="E117" s="31"/>
      <c r="F117" s="76" t="s">
        <v>1117</v>
      </c>
      <c r="G117" s="120">
        <v>46031</v>
      </c>
      <c r="H117" s="121" t="s">
        <v>1013</v>
      </c>
    </row>
    <row r="118" spans="1:8" s="2" customFormat="1" ht="65.099999999999994" customHeight="1">
      <c r="A118" s="88" t="s">
        <v>914</v>
      </c>
      <c r="B118" s="89" t="s">
        <v>915</v>
      </c>
      <c r="C118" s="32"/>
      <c r="D118" s="10"/>
      <c r="E118" s="31"/>
      <c r="F118" s="76" t="s">
        <v>1117</v>
      </c>
      <c r="G118" s="120">
        <v>46031</v>
      </c>
      <c r="H118" s="121" t="s">
        <v>1013</v>
      </c>
    </row>
    <row r="119" spans="1:8" s="2" customFormat="1" ht="26.1" customHeight="1">
      <c r="A119" s="88" t="s">
        <v>916</v>
      </c>
      <c r="B119" s="89" t="s">
        <v>917</v>
      </c>
      <c r="C119" s="32"/>
      <c r="D119" s="10"/>
      <c r="E119" s="31"/>
      <c r="F119" s="76" t="s">
        <v>1117</v>
      </c>
      <c r="G119" s="120">
        <v>46031</v>
      </c>
      <c r="H119" s="121" t="s">
        <v>1013</v>
      </c>
    </row>
    <row r="120" spans="1:8" s="2" customFormat="1" ht="26.1" customHeight="1"/>
    <row r="121" spans="1:8" s="2" customFormat="1" ht="39">
      <c r="A121" s="22" t="s">
        <v>918</v>
      </c>
      <c r="B121" s="23"/>
      <c r="C121" s="62" t="s">
        <v>739</v>
      </c>
      <c r="D121" s="63" t="s">
        <v>740</v>
      </c>
      <c r="E121" s="64" t="s">
        <v>1</v>
      </c>
      <c r="F121" s="26" t="s">
        <v>949</v>
      </c>
      <c r="G121" s="26" t="s">
        <v>950</v>
      </c>
      <c r="H121" s="41" t="s">
        <v>951</v>
      </c>
    </row>
    <row r="122" spans="1:8" s="2" customFormat="1" ht="26.1">
      <c r="A122" s="65" t="s">
        <v>919</v>
      </c>
      <c r="B122" s="72" t="s">
        <v>511</v>
      </c>
      <c r="C122" s="32"/>
      <c r="D122" s="10"/>
      <c r="E122" s="31"/>
      <c r="F122" s="76" t="s">
        <v>1117</v>
      </c>
      <c r="G122" s="120">
        <v>46031</v>
      </c>
      <c r="H122" s="121" t="s">
        <v>1013</v>
      </c>
    </row>
    <row r="123" spans="1:8" s="2" customFormat="1" ht="26.1">
      <c r="A123" s="65" t="s">
        <v>920</v>
      </c>
      <c r="B123" s="72" t="s">
        <v>514</v>
      </c>
      <c r="C123" s="32"/>
      <c r="D123" s="10"/>
      <c r="E123" s="31"/>
      <c r="F123" s="76" t="s">
        <v>1117</v>
      </c>
      <c r="G123" s="120">
        <v>46031</v>
      </c>
      <c r="H123" s="121" t="s">
        <v>1013</v>
      </c>
    </row>
    <row r="124" spans="1:8" s="2" customFormat="1" ht="26.1">
      <c r="A124" s="65" t="s">
        <v>921</v>
      </c>
      <c r="B124" s="72" t="s">
        <v>516</v>
      </c>
      <c r="C124" s="32"/>
      <c r="D124" s="10"/>
      <c r="E124" s="31"/>
      <c r="F124" s="76" t="s">
        <v>1117</v>
      </c>
      <c r="G124" s="120">
        <v>46031</v>
      </c>
      <c r="H124" s="121" t="s">
        <v>1013</v>
      </c>
    </row>
    <row r="125" spans="1:8" s="2" customFormat="1" ht="26.1" customHeight="1">
      <c r="A125" s="65" t="s">
        <v>922</v>
      </c>
      <c r="B125" s="72" t="s">
        <v>518</v>
      </c>
      <c r="C125" s="32"/>
      <c r="D125" s="10"/>
      <c r="E125" s="31"/>
      <c r="F125" s="76" t="s">
        <v>1117</v>
      </c>
      <c r="G125" s="120">
        <v>46032</v>
      </c>
      <c r="H125" s="121" t="s">
        <v>1013</v>
      </c>
    </row>
    <row r="126" spans="1:8">
      <c r="A126" s="2"/>
      <c r="B126" s="2"/>
      <c r="C126" s="2"/>
      <c r="E126" s="2"/>
    </row>
    <row r="127" spans="1:8">
      <c r="A127" s="2"/>
      <c r="B127" s="2"/>
      <c r="C127" s="2"/>
      <c r="E127" s="2"/>
    </row>
    <row r="128" spans="1:8">
      <c r="A128" s="2"/>
      <c r="B128" s="2"/>
      <c r="C128" s="2"/>
      <c r="E128" s="2"/>
    </row>
    <row r="129" spans="1:8" ht="39">
      <c r="A129" s="22" t="s">
        <v>666</v>
      </c>
      <c r="B129" s="23"/>
      <c r="C129" s="41" t="s">
        <v>739</v>
      </c>
      <c r="D129" s="9" t="s">
        <v>740</v>
      </c>
      <c r="E129" s="40" t="s">
        <v>1</v>
      </c>
      <c r="F129" s="26" t="s">
        <v>949</v>
      </c>
      <c r="G129" s="26" t="s">
        <v>950</v>
      </c>
      <c r="H129" s="41" t="s">
        <v>951</v>
      </c>
    </row>
    <row r="130" spans="1:8" s="2" customFormat="1" ht="39">
      <c r="A130" s="65" t="s">
        <v>667</v>
      </c>
      <c r="B130" s="73" t="s">
        <v>175</v>
      </c>
      <c r="C130" s="74"/>
      <c r="D130" s="10" t="s">
        <v>805</v>
      </c>
      <c r="E130" s="31" t="s">
        <v>806</v>
      </c>
      <c r="F130" s="76" t="s">
        <v>1117</v>
      </c>
      <c r="G130" s="120">
        <v>46031</v>
      </c>
      <c r="H130" s="121" t="s">
        <v>958</v>
      </c>
    </row>
    <row r="131" spans="1:8" s="2" customFormat="1" ht="43.5">
      <c r="A131" s="65" t="s">
        <v>668</v>
      </c>
      <c r="B131" s="73" t="s">
        <v>177</v>
      </c>
      <c r="C131" s="74"/>
      <c r="D131" s="10" t="s">
        <v>807</v>
      </c>
      <c r="E131" s="31" t="s">
        <v>808</v>
      </c>
      <c r="F131" s="76" t="s">
        <v>1117</v>
      </c>
      <c r="G131" s="120">
        <v>46031</v>
      </c>
      <c r="H131" s="121" t="s">
        <v>958</v>
      </c>
    </row>
    <row r="132" spans="1:8" s="2" customFormat="1" ht="39">
      <c r="A132" s="65" t="s">
        <v>669</v>
      </c>
      <c r="B132" s="73" t="s">
        <v>179</v>
      </c>
      <c r="C132" s="74"/>
      <c r="D132" s="10" t="s">
        <v>810</v>
      </c>
      <c r="E132" s="31" t="s">
        <v>811</v>
      </c>
      <c r="F132" s="76" t="s">
        <v>1117</v>
      </c>
      <c r="G132" s="120">
        <v>46031</v>
      </c>
      <c r="H132" s="121" t="s">
        <v>958</v>
      </c>
    </row>
    <row r="133" spans="1:8" s="2" customFormat="1" ht="26.1" customHeight="1">
      <c r="A133" s="65" t="s">
        <v>670</v>
      </c>
      <c r="B133" s="73" t="s">
        <v>181</v>
      </c>
      <c r="C133" s="74"/>
      <c r="D133" s="10" t="s">
        <v>805</v>
      </c>
      <c r="E133" s="31" t="s">
        <v>813</v>
      </c>
      <c r="F133" s="76" t="s">
        <v>1117</v>
      </c>
      <c r="G133" s="120">
        <v>46032</v>
      </c>
      <c r="H133" s="121" t="s">
        <v>958</v>
      </c>
    </row>
    <row r="134" spans="1:8" s="2" customFormat="1" ht="39">
      <c r="A134" s="65" t="s">
        <v>671</v>
      </c>
      <c r="B134" s="73" t="s">
        <v>183</v>
      </c>
      <c r="C134" s="74"/>
      <c r="D134" s="10" t="s">
        <v>805</v>
      </c>
      <c r="E134" s="31" t="s">
        <v>814</v>
      </c>
      <c r="F134" s="76" t="s">
        <v>1117</v>
      </c>
      <c r="G134" s="120">
        <v>46031</v>
      </c>
      <c r="H134" s="121" t="s">
        <v>958</v>
      </c>
    </row>
    <row r="135" spans="1:8" s="2" customFormat="1" ht="39">
      <c r="A135" s="65" t="s">
        <v>672</v>
      </c>
      <c r="B135" s="73" t="s">
        <v>185</v>
      </c>
      <c r="C135" s="74"/>
      <c r="D135" s="10" t="s">
        <v>815</v>
      </c>
      <c r="E135" s="31" t="s">
        <v>816</v>
      </c>
      <c r="F135" s="76" t="s">
        <v>1117</v>
      </c>
      <c r="G135" s="120">
        <v>46031</v>
      </c>
      <c r="H135" s="121" t="s">
        <v>958</v>
      </c>
    </row>
    <row r="136" spans="1:8" s="2" customFormat="1" ht="39">
      <c r="A136" s="65" t="s">
        <v>673</v>
      </c>
      <c r="B136" s="73" t="s">
        <v>187</v>
      </c>
      <c r="C136" s="74"/>
      <c r="D136" s="10" t="s">
        <v>817</v>
      </c>
      <c r="E136" s="31" t="s">
        <v>818</v>
      </c>
      <c r="F136" s="76" t="s">
        <v>1117</v>
      </c>
      <c r="G136" s="120">
        <v>46031</v>
      </c>
      <c r="H136" s="121" t="s">
        <v>958</v>
      </c>
    </row>
    <row r="137" spans="1:8" s="2" customFormat="1" ht="104.1" customHeight="1">
      <c r="A137" s="65" t="s">
        <v>674</v>
      </c>
      <c r="B137" s="92" t="s">
        <v>189</v>
      </c>
      <c r="C137" s="74"/>
      <c r="D137" s="10" t="s">
        <v>805</v>
      </c>
      <c r="E137" s="31" t="s">
        <v>819</v>
      </c>
      <c r="F137" s="76" t="s">
        <v>1117</v>
      </c>
      <c r="G137" s="120">
        <v>46032</v>
      </c>
      <c r="H137" s="121" t="s">
        <v>958</v>
      </c>
    </row>
    <row r="138" spans="1:8" s="2" customFormat="1"/>
    <row r="139" spans="1:8">
      <c r="A139" s="93"/>
      <c r="B139" s="2"/>
      <c r="C139" s="2"/>
      <c r="E139" s="2"/>
    </row>
    <row r="140" spans="1:8" ht="39">
      <c r="A140" s="22" t="s">
        <v>675</v>
      </c>
      <c r="B140" s="23"/>
      <c r="C140" s="62" t="s">
        <v>739</v>
      </c>
      <c r="D140" s="63" t="s">
        <v>740</v>
      </c>
      <c r="E140" s="64" t="s">
        <v>1</v>
      </c>
      <c r="F140" s="26" t="s">
        <v>949</v>
      </c>
      <c r="G140" s="26" t="s">
        <v>950</v>
      </c>
      <c r="H140" s="41" t="s">
        <v>951</v>
      </c>
    </row>
    <row r="141" spans="1:8">
      <c r="A141" s="65" t="s">
        <v>676</v>
      </c>
      <c r="B141" s="72" t="s">
        <v>677</v>
      </c>
      <c r="C141" s="32"/>
      <c r="D141" s="67"/>
      <c r="E141" s="31"/>
      <c r="F141" s="76" t="s">
        <v>1117</v>
      </c>
      <c r="G141" s="120">
        <v>46031</v>
      </c>
      <c r="H141" s="121" t="s">
        <v>1013</v>
      </c>
    </row>
    <row r="142" spans="1:8">
      <c r="A142" s="65" t="s">
        <v>678</v>
      </c>
      <c r="B142" s="72" t="s">
        <v>679</v>
      </c>
      <c r="C142" s="32"/>
      <c r="D142" s="67"/>
      <c r="E142" s="31"/>
      <c r="F142" s="76" t="s">
        <v>1117</v>
      </c>
      <c r="G142" s="120">
        <v>46031</v>
      </c>
      <c r="H142" s="121" t="s">
        <v>1013</v>
      </c>
    </row>
    <row r="143" spans="1:8">
      <c r="A143" s="65" t="s">
        <v>680</v>
      </c>
      <c r="B143" s="72" t="s">
        <v>681</v>
      </c>
      <c r="C143" s="32"/>
      <c r="D143" s="67"/>
      <c r="E143" s="31"/>
      <c r="F143" s="76" t="s">
        <v>1117</v>
      </c>
      <c r="G143" s="120">
        <v>46031</v>
      </c>
      <c r="H143" s="121" t="s">
        <v>1013</v>
      </c>
    </row>
    <row r="144" spans="1:8">
      <c r="A144" s="65" t="s">
        <v>682</v>
      </c>
      <c r="B144" s="72" t="s">
        <v>683</v>
      </c>
      <c r="C144" s="32"/>
      <c r="D144" s="10"/>
      <c r="E144" s="31"/>
      <c r="F144" s="76" t="s">
        <v>1117</v>
      </c>
      <c r="G144" s="120">
        <v>46032</v>
      </c>
      <c r="H144" s="121" t="s">
        <v>1013</v>
      </c>
    </row>
    <row r="145" spans="1:8">
      <c r="A145" s="65" t="s">
        <v>684</v>
      </c>
      <c r="B145" s="72" t="s">
        <v>685</v>
      </c>
      <c r="C145" s="32"/>
      <c r="D145" s="10"/>
      <c r="E145" s="31"/>
      <c r="F145" s="76" t="s">
        <v>1117</v>
      </c>
      <c r="G145" s="120">
        <v>46031</v>
      </c>
      <c r="H145" s="121" t="s">
        <v>1013</v>
      </c>
    </row>
    <row r="146" spans="1:8">
      <c r="A146" s="65" t="s">
        <v>686</v>
      </c>
      <c r="B146" s="72" t="s">
        <v>687</v>
      </c>
      <c r="C146" s="32"/>
      <c r="D146" s="10"/>
      <c r="E146" s="31"/>
      <c r="F146" s="76" t="s">
        <v>1117</v>
      </c>
      <c r="G146" s="120">
        <v>46031</v>
      </c>
      <c r="H146" s="121" t="s">
        <v>1013</v>
      </c>
    </row>
    <row r="147" spans="1:8" ht="26.1">
      <c r="A147" s="65" t="s">
        <v>688</v>
      </c>
      <c r="B147" s="72" t="s">
        <v>689</v>
      </c>
      <c r="C147" s="32"/>
      <c r="D147" s="5"/>
      <c r="E147" s="31"/>
      <c r="F147" s="76" t="s">
        <v>1117</v>
      </c>
      <c r="G147" s="120">
        <v>46031</v>
      </c>
      <c r="H147" s="121" t="s">
        <v>1013</v>
      </c>
    </row>
    <row r="148" spans="1:8">
      <c r="A148" s="2"/>
      <c r="B148" s="2"/>
      <c r="C148" s="2"/>
      <c r="E148" s="2"/>
      <c r="F148" s="76" t="s">
        <v>1117</v>
      </c>
      <c r="G148" s="120">
        <v>46032</v>
      </c>
      <c r="H148" s="121" t="s">
        <v>1013</v>
      </c>
    </row>
    <row r="149" spans="1:8">
      <c r="A149" s="2"/>
      <c r="B149" s="2"/>
      <c r="C149" s="2"/>
      <c r="E149" s="2"/>
    </row>
    <row r="150" spans="1:8" ht="39">
      <c r="A150" s="22" t="s">
        <v>690</v>
      </c>
      <c r="B150" s="23"/>
      <c r="C150" s="41" t="s">
        <v>739</v>
      </c>
      <c r="D150" s="9" t="s">
        <v>740</v>
      </c>
      <c r="E150" s="40" t="s">
        <v>1</v>
      </c>
      <c r="F150" s="26" t="s">
        <v>949</v>
      </c>
      <c r="G150" s="26" t="s">
        <v>950</v>
      </c>
      <c r="H150" s="41" t="s">
        <v>951</v>
      </c>
    </row>
    <row r="151" spans="1:8">
      <c r="A151" s="65" t="s">
        <v>691</v>
      </c>
      <c r="B151" s="72" t="s">
        <v>692</v>
      </c>
      <c r="C151" s="74"/>
      <c r="D151" s="116" t="s">
        <v>923</v>
      </c>
      <c r="E151" s="76" t="s">
        <v>924</v>
      </c>
      <c r="F151" s="76" t="s">
        <v>1117</v>
      </c>
      <c r="G151" s="120">
        <v>46031</v>
      </c>
      <c r="H151" s="121" t="s">
        <v>958</v>
      </c>
    </row>
    <row r="152" spans="1:8" ht="29.1">
      <c r="A152" s="65" t="s">
        <v>693</v>
      </c>
      <c r="B152" s="72" t="s">
        <v>694</v>
      </c>
      <c r="C152" s="74"/>
      <c r="D152" s="75" t="s">
        <v>925</v>
      </c>
      <c r="E152" s="76" t="s">
        <v>926</v>
      </c>
      <c r="F152" s="76" t="s">
        <v>1117</v>
      </c>
      <c r="G152" s="120">
        <v>46031</v>
      </c>
      <c r="H152" s="121" t="s">
        <v>958</v>
      </c>
    </row>
    <row r="153" spans="1:8" ht="72.599999999999994">
      <c r="A153" s="65" t="s">
        <v>695</v>
      </c>
      <c r="B153" s="72" t="s">
        <v>696</v>
      </c>
      <c r="C153" s="74"/>
      <c r="D153" s="75" t="s">
        <v>927</v>
      </c>
      <c r="E153" s="76" t="s">
        <v>928</v>
      </c>
      <c r="F153" s="76" t="s">
        <v>1117</v>
      </c>
      <c r="G153" s="120">
        <v>46031</v>
      </c>
      <c r="H153" s="121" t="s">
        <v>958</v>
      </c>
    </row>
    <row r="154" spans="1:8" ht="217.5">
      <c r="A154" s="65" t="s">
        <v>697</v>
      </c>
      <c r="B154" s="72" t="s">
        <v>698</v>
      </c>
      <c r="C154" s="74"/>
      <c r="D154" s="75" t="s">
        <v>929</v>
      </c>
      <c r="E154" s="76" t="s">
        <v>930</v>
      </c>
      <c r="F154" s="76" t="s">
        <v>1117</v>
      </c>
      <c r="G154" s="120">
        <v>46032</v>
      </c>
      <c r="H154" s="121" t="s">
        <v>958</v>
      </c>
    </row>
    <row r="155" spans="1:8" ht="29.1">
      <c r="A155" s="65" t="s">
        <v>699</v>
      </c>
      <c r="B155" s="72" t="s">
        <v>700</v>
      </c>
      <c r="C155" s="74"/>
      <c r="D155" s="75" t="s">
        <v>931</v>
      </c>
      <c r="E155" s="76" t="s">
        <v>932</v>
      </c>
      <c r="F155" s="76" t="s">
        <v>1117</v>
      </c>
      <c r="G155" s="120">
        <v>46031</v>
      </c>
      <c r="H155" s="121" t="s">
        <v>958</v>
      </c>
    </row>
    <row r="156" spans="1:8" ht="78">
      <c r="A156" s="65" t="s">
        <v>701</v>
      </c>
      <c r="B156" s="72" t="s">
        <v>702</v>
      </c>
      <c r="C156" s="74"/>
      <c r="D156" s="75"/>
      <c r="E156" s="76" t="s">
        <v>933</v>
      </c>
      <c r="F156" s="76" t="s">
        <v>1117</v>
      </c>
      <c r="G156" s="120">
        <v>46031</v>
      </c>
      <c r="H156" s="121" t="s">
        <v>958</v>
      </c>
    </row>
    <row r="159" spans="1:8" ht="39">
      <c r="A159" s="22" t="s">
        <v>703</v>
      </c>
      <c r="B159" s="23"/>
      <c r="C159" s="62" t="s">
        <v>739</v>
      </c>
      <c r="D159" s="63" t="s">
        <v>740</v>
      </c>
      <c r="E159" s="64" t="s">
        <v>1</v>
      </c>
      <c r="F159" s="26" t="s">
        <v>949</v>
      </c>
      <c r="G159" s="26" t="s">
        <v>950</v>
      </c>
      <c r="H159" s="41" t="s">
        <v>951</v>
      </c>
    </row>
    <row r="160" spans="1:8">
      <c r="A160" s="65" t="s">
        <v>704</v>
      </c>
      <c r="B160" s="72" t="s">
        <v>705</v>
      </c>
      <c r="C160" s="32"/>
      <c r="D160" s="67" t="s">
        <v>934</v>
      </c>
      <c r="E160" s="31" t="s">
        <v>935</v>
      </c>
      <c r="F160" s="76" t="s">
        <v>1117</v>
      </c>
      <c r="G160" s="120">
        <v>46031</v>
      </c>
      <c r="H160" s="121" t="s">
        <v>958</v>
      </c>
    </row>
    <row r="161" spans="1:8" ht="78">
      <c r="A161" s="65" t="s">
        <v>706</v>
      </c>
      <c r="B161" s="72" t="s">
        <v>707</v>
      </c>
      <c r="C161" s="32" t="s">
        <v>936</v>
      </c>
      <c r="D161" s="67" t="s">
        <v>937</v>
      </c>
      <c r="E161" s="31" t="s">
        <v>938</v>
      </c>
      <c r="F161" s="76" t="s">
        <v>1117</v>
      </c>
      <c r="G161" s="120">
        <v>46031</v>
      </c>
      <c r="H161" s="121" t="s">
        <v>958</v>
      </c>
    </row>
    <row r="162" spans="1:8" ht="90.95">
      <c r="A162" s="65" t="s">
        <v>708</v>
      </c>
      <c r="B162" s="72" t="s">
        <v>709</v>
      </c>
      <c r="C162" s="32"/>
      <c r="D162" s="67" t="s">
        <v>939</v>
      </c>
      <c r="E162" s="31" t="s">
        <v>940</v>
      </c>
      <c r="F162" s="76" t="s">
        <v>1117</v>
      </c>
      <c r="G162" s="120">
        <v>46031</v>
      </c>
      <c r="H162" s="121" t="s">
        <v>958</v>
      </c>
    </row>
    <row r="163" spans="1:8" ht="26.1">
      <c r="A163" s="65" t="s">
        <v>710</v>
      </c>
      <c r="B163" s="72" t="s">
        <v>711</v>
      </c>
      <c r="C163" s="32"/>
      <c r="D163" s="67" t="s">
        <v>939</v>
      </c>
      <c r="E163" s="31" t="s">
        <v>941</v>
      </c>
      <c r="F163" s="76" t="s">
        <v>1117</v>
      </c>
      <c r="G163" s="120">
        <v>46032</v>
      </c>
      <c r="H163" s="121" t="s">
        <v>958</v>
      </c>
    </row>
    <row r="164" spans="1:8" ht="26.1">
      <c r="A164" s="65" t="s">
        <v>712</v>
      </c>
      <c r="B164" s="72" t="s">
        <v>713</v>
      </c>
      <c r="C164" s="32"/>
      <c r="D164" s="67" t="s">
        <v>939</v>
      </c>
      <c r="E164" s="31" t="s">
        <v>942</v>
      </c>
      <c r="F164" s="76" t="s">
        <v>1117</v>
      </c>
      <c r="G164" s="120">
        <v>46031</v>
      </c>
      <c r="H164" s="121" t="s">
        <v>958</v>
      </c>
    </row>
    <row r="165" spans="1:8" ht="26.1">
      <c r="A165" s="65" t="s">
        <v>714</v>
      </c>
      <c r="B165" s="72" t="s">
        <v>715</v>
      </c>
      <c r="C165" s="32"/>
      <c r="D165" s="67" t="s">
        <v>939</v>
      </c>
      <c r="E165" s="31" t="s">
        <v>943</v>
      </c>
      <c r="F165" s="76" t="s">
        <v>1117</v>
      </c>
      <c r="G165" s="120">
        <v>46031</v>
      </c>
      <c r="H165" s="121" t="s">
        <v>958</v>
      </c>
    </row>
    <row r="166" spans="1:8">
      <c r="F166" s="76" t="s">
        <v>1117</v>
      </c>
      <c r="G166" s="120">
        <v>46031</v>
      </c>
      <c r="H166" s="121" t="s">
        <v>1013</v>
      </c>
    </row>
    <row r="167" spans="1:8" ht="156">
      <c r="A167" s="65" t="s">
        <v>716</v>
      </c>
      <c r="B167" s="72" t="s">
        <v>944</v>
      </c>
      <c r="C167" s="32"/>
      <c r="D167" s="117" t="s">
        <v>945</v>
      </c>
      <c r="E167" s="31" t="s">
        <v>946</v>
      </c>
      <c r="F167" s="76" t="s">
        <v>1117</v>
      </c>
      <c r="G167" s="120">
        <v>46032</v>
      </c>
      <c r="H167" s="121" t="s">
        <v>958</v>
      </c>
    </row>
    <row r="168" spans="1:8" ht="78.599999999999994">
      <c r="A168" s="65" t="s">
        <v>718</v>
      </c>
      <c r="B168" s="72" t="s">
        <v>719</v>
      </c>
      <c r="C168" s="32" t="s">
        <v>947</v>
      </c>
      <c r="D168" s="119" t="s">
        <v>939</v>
      </c>
      <c r="E168" s="118" t="s">
        <v>948</v>
      </c>
      <c r="F168" s="76" t="s">
        <v>1117</v>
      </c>
      <c r="G168" s="120">
        <v>46031</v>
      </c>
      <c r="H168" s="121" t="s">
        <v>958</v>
      </c>
    </row>
    <row r="169" spans="1:8">
      <c r="F169" s="2"/>
      <c r="G169" s="2"/>
      <c r="H169" s="2"/>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3E42-A07E-49E4-B1E1-E62474DE009C}">
  <dimension ref="A1:H82"/>
  <sheetViews>
    <sheetView topLeftCell="A9" zoomScale="70" zoomScaleNormal="70" workbookViewId="0">
      <selection activeCell="D11" sqref="D11"/>
    </sheetView>
  </sheetViews>
  <sheetFormatPr defaultColWidth="8.7109375" defaultRowHeight="14.45"/>
  <cols>
    <col min="1" max="1" width="41.28515625" customWidth="1"/>
    <col min="2" max="2" width="58.85546875" customWidth="1"/>
    <col min="3" max="3" width="50.85546875" customWidth="1"/>
    <col min="4" max="4" width="71.85546875" style="2" customWidth="1"/>
    <col min="5" max="5" width="42.5703125" customWidth="1"/>
    <col min="6" max="6" width="20.42578125" customWidth="1"/>
    <col min="7" max="7" width="12" customWidth="1"/>
    <col min="8" max="8" width="20.85546875" customWidth="1"/>
  </cols>
  <sheetData>
    <row r="1" spans="1:8" s="79" customFormat="1" ht="47.1" customHeight="1">
      <c r="A1" s="130" t="s">
        <v>1118</v>
      </c>
      <c r="B1" s="131"/>
      <c r="C1" s="132" t="s">
        <v>739</v>
      </c>
      <c r="D1" s="133" t="s">
        <v>740</v>
      </c>
      <c r="E1" s="130" t="s">
        <v>1</v>
      </c>
      <c r="F1" s="130" t="s">
        <v>1119</v>
      </c>
      <c r="G1" s="130" t="s">
        <v>950</v>
      </c>
      <c r="H1" s="134" t="s">
        <v>951</v>
      </c>
    </row>
    <row r="2" spans="1:8" s="2" customFormat="1" ht="104.45">
      <c r="A2" s="29" t="s">
        <v>208</v>
      </c>
      <c r="B2" s="29" t="s">
        <v>209</v>
      </c>
      <c r="C2" s="135" t="s">
        <v>1120</v>
      </c>
      <c r="D2" s="136" t="s">
        <v>1121</v>
      </c>
      <c r="E2" s="135" t="s">
        <v>1122</v>
      </c>
      <c r="F2" s="135" t="s">
        <v>1123</v>
      </c>
      <c r="G2" s="137"/>
      <c r="H2" s="137" t="s">
        <v>958</v>
      </c>
    </row>
    <row r="3" spans="1:8" s="2" customFormat="1" ht="299.45">
      <c r="A3" s="29" t="s">
        <v>210</v>
      </c>
      <c r="B3" s="29" t="s">
        <v>211</v>
      </c>
      <c r="C3" s="135" t="s">
        <v>1124</v>
      </c>
      <c r="D3" s="136" t="s">
        <v>1125</v>
      </c>
      <c r="E3" s="135" t="s">
        <v>1126</v>
      </c>
      <c r="F3" s="135" t="s">
        <v>1127</v>
      </c>
      <c r="G3" s="138">
        <v>46031</v>
      </c>
      <c r="H3" s="137" t="s">
        <v>958</v>
      </c>
    </row>
    <row r="4" spans="1:8" s="2" customFormat="1" ht="57.95">
      <c r="A4" s="29" t="s">
        <v>212</v>
      </c>
      <c r="B4" s="29" t="s">
        <v>213</v>
      </c>
      <c r="C4" s="135" t="s">
        <v>750</v>
      </c>
      <c r="D4" s="136" t="s">
        <v>1128</v>
      </c>
      <c r="E4" s="135"/>
      <c r="F4" s="135" t="s">
        <v>1127</v>
      </c>
      <c r="G4" s="138">
        <v>46031</v>
      </c>
      <c r="H4" s="137" t="s">
        <v>958</v>
      </c>
    </row>
    <row r="5" spans="1:8" s="2" customFormat="1" ht="130.5">
      <c r="A5" s="139" t="s">
        <v>214</v>
      </c>
      <c r="B5" s="139" t="s">
        <v>215</v>
      </c>
      <c r="C5" s="140" t="s">
        <v>750</v>
      </c>
      <c r="D5" s="141" t="s">
        <v>830</v>
      </c>
      <c r="E5" s="135" t="s">
        <v>1129</v>
      </c>
      <c r="F5" s="135" t="s">
        <v>1123</v>
      </c>
      <c r="G5" s="137"/>
      <c r="H5" s="137" t="s">
        <v>958</v>
      </c>
    </row>
    <row r="6" spans="1:8" s="2" customFormat="1" ht="182.45">
      <c r="A6" s="29" t="s">
        <v>216</v>
      </c>
      <c r="B6" s="29" t="s">
        <v>217</v>
      </c>
      <c r="C6" s="135" t="s">
        <v>1130</v>
      </c>
      <c r="D6" s="136" t="s">
        <v>1131</v>
      </c>
      <c r="E6" s="135" t="s">
        <v>1132</v>
      </c>
      <c r="F6" s="135" t="s">
        <v>1127</v>
      </c>
      <c r="G6" s="138">
        <v>46036</v>
      </c>
      <c r="H6" s="137" t="s">
        <v>958</v>
      </c>
    </row>
    <row r="7" spans="1:8" s="2" customFormat="1" ht="39.6">
      <c r="A7" s="29" t="s">
        <v>224</v>
      </c>
      <c r="B7" s="29" t="s">
        <v>225</v>
      </c>
      <c r="C7" s="135" t="s">
        <v>750</v>
      </c>
      <c r="D7" s="136" t="s">
        <v>1133</v>
      </c>
      <c r="E7" s="135"/>
      <c r="F7" s="135" t="s">
        <v>1127</v>
      </c>
      <c r="G7" s="138">
        <v>46038</v>
      </c>
      <c r="H7" s="137" t="s">
        <v>958</v>
      </c>
    </row>
    <row r="8" spans="1:8" s="2" customFormat="1" ht="72.599999999999994">
      <c r="A8" s="29" t="s">
        <v>226</v>
      </c>
      <c r="B8" s="33" t="s">
        <v>227</v>
      </c>
      <c r="C8" s="135" t="s">
        <v>750</v>
      </c>
      <c r="D8" s="136" t="s">
        <v>1134</v>
      </c>
      <c r="E8" s="135"/>
      <c r="F8" s="135" t="s">
        <v>1127</v>
      </c>
      <c r="G8" s="138">
        <v>46043</v>
      </c>
      <c r="H8" s="137" t="s">
        <v>958</v>
      </c>
    </row>
    <row r="9" spans="1:8" ht="91.5">
      <c r="A9" s="29" t="s">
        <v>228</v>
      </c>
      <c r="B9" s="33" t="s">
        <v>229</v>
      </c>
      <c r="C9" s="135" t="s">
        <v>750</v>
      </c>
      <c r="D9" s="136" t="s">
        <v>837</v>
      </c>
      <c r="E9" s="135"/>
      <c r="F9" s="135" t="s">
        <v>1123</v>
      </c>
      <c r="G9" s="138">
        <v>46044</v>
      </c>
      <c r="H9" s="137" t="s">
        <v>958</v>
      </c>
    </row>
    <row r="10" spans="1:8">
      <c r="A10" s="29" t="s">
        <v>230</v>
      </c>
      <c r="B10" s="29" t="s">
        <v>231</v>
      </c>
      <c r="C10" s="135"/>
      <c r="D10" s="136"/>
      <c r="E10" s="135"/>
      <c r="F10" s="135"/>
      <c r="G10" s="137"/>
      <c r="H10" s="137"/>
    </row>
    <row r="11" spans="1:8" ht="130.5">
      <c r="A11" s="29" t="s">
        <v>232</v>
      </c>
      <c r="B11" s="29" t="s">
        <v>233</v>
      </c>
      <c r="C11" s="135" t="s">
        <v>1130</v>
      </c>
      <c r="D11" s="136" t="s">
        <v>1135</v>
      </c>
      <c r="E11" s="135" t="s">
        <v>1136</v>
      </c>
      <c r="F11" s="135" t="s">
        <v>1127</v>
      </c>
      <c r="G11" s="138">
        <v>46044</v>
      </c>
      <c r="H11" s="137" t="s">
        <v>958</v>
      </c>
    </row>
    <row r="12" spans="1:8" ht="39.6">
      <c r="A12" s="29" t="s">
        <v>235</v>
      </c>
      <c r="B12" s="29" t="s">
        <v>236</v>
      </c>
      <c r="C12" s="135" t="s">
        <v>1137</v>
      </c>
      <c r="D12" s="136" t="s">
        <v>1138</v>
      </c>
      <c r="E12" s="135"/>
      <c r="F12" s="135" t="s">
        <v>1127</v>
      </c>
      <c r="G12" s="137"/>
      <c r="H12" s="137" t="s">
        <v>997</v>
      </c>
    </row>
    <row r="13" spans="1:8" ht="130.5">
      <c r="A13" s="29" t="s">
        <v>237</v>
      </c>
      <c r="B13" s="29" t="s">
        <v>238</v>
      </c>
      <c r="C13" s="135" t="s">
        <v>840</v>
      </c>
      <c r="D13" s="136" t="s">
        <v>841</v>
      </c>
      <c r="E13" s="135"/>
      <c r="F13" s="135" t="s">
        <v>1127</v>
      </c>
      <c r="G13" s="137"/>
      <c r="H13" s="137" t="s">
        <v>997</v>
      </c>
    </row>
    <row r="14" spans="1:8" ht="130.5">
      <c r="A14" s="29" t="s">
        <v>239</v>
      </c>
      <c r="B14" s="29" t="s">
        <v>240</v>
      </c>
      <c r="C14" s="135" t="s">
        <v>840</v>
      </c>
      <c r="D14" s="136" t="s">
        <v>842</v>
      </c>
      <c r="E14" s="135"/>
      <c r="F14" s="135"/>
      <c r="G14" s="137"/>
      <c r="H14" s="137"/>
    </row>
    <row r="15" spans="1:8">
      <c r="A15" s="29" t="s">
        <v>253</v>
      </c>
      <c r="B15" s="33" t="s">
        <v>254</v>
      </c>
      <c r="C15" s="135"/>
      <c r="D15" s="136"/>
      <c r="E15" s="135"/>
      <c r="F15" s="135"/>
      <c r="G15" s="137"/>
      <c r="H15" s="137"/>
    </row>
    <row r="16" spans="1:8" ht="39.6">
      <c r="A16" s="29" t="s">
        <v>255</v>
      </c>
      <c r="B16" s="33" t="s">
        <v>256</v>
      </c>
      <c r="C16" s="135" t="s">
        <v>750</v>
      </c>
      <c r="D16" s="136" t="s">
        <v>1139</v>
      </c>
      <c r="E16" s="135"/>
      <c r="F16" s="135" t="s">
        <v>1127</v>
      </c>
      <c r="G16" s="138">
        <v>46031</v>
      </c>
      <c r="H16" s="137" t="s">
        <v>958</v>
      </c>
    </row>
    <row r="17" spans="1:8">
      <c r="A17" s="29" t="s">
        <v>257</v>
      </c>
      <c r="B17" s="33" t="s">
        <v>258</v>
      </c>
      <c r="C17" s="135"/>
      <c r="D17" s="136"/>
      <c r="E17" s="135"/>
      <c r="F17" s="135"/>
      <c r="G17" s="137"/>
      <c r="H17" s="137"/>
    </row>
    <row r="18" spans="1:8" ht="65.45">
      <c r="A18" s="142" t="s">
        <v>270</v>
      </c>
      <c r="B18" s="143" t="s">
        <v>271</v>
      </c>
      <c r="C18" s="135"/>
      <c r="D18" s="136"/>
      <c r="E18" s="135"/>
      <c r="F18" s="135"/>
      <c r="G18" s="137"/>
      <c r="H18" s="137"/>
    </row>
    <row r="19" spans="1:8" ht="39.6">
      <c r="A19" s="142" t="s">
        <v>272</v>
      </c>
      <c r="B19" s="143" t="s">
        <v>273</v>
      </c>
      <c r="C19" s="135"/>
      <c r="D19" s="136"/>
      <c r="E19" s="135"/>
      <c r="F19" s="135"/>
      <c r="G19" s="137"/>
      <c r="H19" s="137"/>
    </row>
    <row r="20" spans="1:8" ht="39.6">
      <c r="A20" s="142" t="s">
        <v>274</v>
      </c>
      <c r="B20" s="143" t="s">
        <v>275</v>
      </c>
      <c r="C20" s="135"/>
      <c r="D20" s="136"/>
      <c r="E20" s="135"/>
      <c r="F20" s="135"/>
      <c r="G20" s="137"/>
      <c r="H20" s="137"/>
    </row>
    <row r="21" spans="1:8" ht="26.45">
      <c r="A21" s="142" t="s">
        <v>276</v>
      </c>
      <c r="B21" s="143" t="s">
        <v>277</v>
      </c>
      <c r="C21" s="135"/>
      <c r="D21" s="136"/>
      <c r="E21" s="135"/>
      <c r="F21" s="135"/>
      <c r="G21" s="137"/>
      <c r="H21" s="137"/>
    </row>
    <row r="22" spans="1:8">
      <c r="A22" s="137"/>
      <c r="B22" s="137"/>
      <c r="C22" s="137"/>
      <c r="D22" s="137"/>
      <c r="E22" s="137"/>
      <c r="F22" s="137"/>
      <c r="G22" s="137"/>
      <c r="H22" s="137"/>
    </row>
    <row r="23" spans="1:8">
      <c r="A23" s="137"/>
      <c r="B23" s="137"/>
      <c r="C23" s="137"/>
      <c r="D23" s="137"/>
      <c r="E23" s="137"/>
      <c r="F23" s="137"/>
      <c r="G23" s="137"/>
      <c r="H23" s="137"/>
    </row>
    <row r="24" spans="1:8">
      <c r="A24" s="144" t="s">
        <v>1140</v>
      </c>
      <c r="B24" s="145"/>
      <c r="C24" s="134" t="s">
        <v>739</v>
      </c>
      <c r="D24" s="133" t="s">
        <v>740</v>
      </c>
      <c r="E24" s="146" t="s">
        <v>1</v>
      </c>
      <c r="F24" s="130" t="s">
        <v>1119</v>
      </c>
      <c r="G24" s="137"/>
      <c r="H24" s="137"/>
    </row>
    <row r="25" spans="1:8" ht="39.6">
      <c r="A25" s="29" t="s">
        <v>279</v>
      </c>
      <c r="B25" s="33" t="s">
        <v>280</v>
      </c>
      <c r="C25" s="135" t="s">
        <v>750</v>
      </c>
      <c r="D25" s="136" t="s">
        <v>835</v>
      </c>
      <c r="E25" s="135"/>
      <c r="F25" s="135" t="s">
        <v>1141</v>
      </c>
      <c r="G25" s="137"/>
      <c r="H25" s="137"/>
    </row>
    <row r="26" spans="1:8" ht="87">
      <c r="A26" s="29" t="s">
        <v>285</v>
      </c>
      <c r="B26" s="33" t="s">
        <v>286</v>
      </c>
      <c r="C26" s="135" t="s">
        <v>750</v>
      </c>
      <c r="D26" s="136" t="s">
        <v>844</v>
      </c>
      <c r="E26" s="135"/>
      <c r="F26" s="135" t="s">
        <v>1141</v>
      </c>
      <c r="G26" s="137"/>
      <c r="H26" s="137"/>
    </row>
    <row r="27" spans="1:8" ht="87">
      <c r="A27" s="29" t="s">
        <v>287</v>
      </c>
      <c r="B27" s="33" t="s">
        <v>288</v>
      </c>
      <c r="C27" s="135" t="s">
        <v>750</v>
      </c>
      <c r="D27" s="136" t="s">
        <v>845</v>
      </c>
      <c r="E27" s="135"/>
      <c r="F27" s="135" t="s">
        <v>1141</v>
      </c>
      <c r="G27" s="137"/>
      <c r="H27" s="137"/>
    </row>
    <row r="28" spans="1:8" ht="87">
      <c r="A28" s="29" t="s">
        <v>289</v>
      </c>
      <c r="B28" s="33" t="s">
        <v>290</v>
      </c>
      <c r="C28" s="135" t="s">
        <v>750</v>
      </c>
      <c r="D28" s="136" t="s">
        <v>846</v>
      </c>
      <c r="E28" s="135"/>
      <c r="F28" s="135" t="s">
        <v>1141</v>
      </c>
      <c r="G28" s="137"/>
      <c r="H28" s="137"/>
    </row>
    <row r="29" spans="1:8" ht="72.599999999999994">
      <c r="A29" s="29" t="s">
        <v>291</v>
      </c>
      <c r="B29" s="33" t="s">
        <v>292</v>
      </c>
      <c r="C29" s="135" t="s">
        <v>750</v>
      </c>
      <c r="D29" s="136" t="s">
        <v>847</v>
      </c>
      <c r="E29" s="135"/>
      <c r="F29" s="135" t="s">
        <v>1141</v>
      </c>
      <c r="G29" s="137"/>
      <c r="H29" s="137"/>
    </row>
    <row r="30" spans="1:8" ht="57.95">
      <c r="A30" s="29" t="s">
        <v>295</v>
      </c>
      <c r="B30" s="33" t="s">
        <v>296</v>
      </c>
      <c r="C30" s="135" t="s">
        <v>750</v>
      </c>
      <c r="D30" s="136" t="s">
        <v>848</v>
      </c>
      <c r="E30" s="135"/>
      <c r="F30" s="135" t="s">
        <v>1141</v>
      </c>
      <c r="G30" s="137"/>
      <c r="H30" s="137"/>
    </row>
    <row r="31" spans="1:8" ht="52.5">
      <c r="A31" s="29" t="s">
        <v>299</v>
      </c>
      <c r="B31" s="33" t="s">
        <v>300</v>
      </c>
      <c r="C31" s="135"/>
      <c r="D31" s="136"/>
      <c r="E31" s="135"/>
      <c r="F31" s="135" t="s">
        <v>1141</v>
      </c>
      <c r="G31" s="137"/>
      <c r="H31" s="137"/>
    </row>
    <row r="32" spans="1:8" s="103" customFormat="1" ht="91.5">
      <c r="A32" s="29" t="s">
        <v>306</v>
      </c>
      <c r="B32" s="33" t="s">
        <v>307</v>
      </c>
      <c r="C32" s="135" t="s">
        <v>750</v>
      </c>
      <c r="D32" s="136" t="s">
        <v>849</v>
      </c>
      <c r="E32" s="135"/>
      <c r="F32" s="135" t="s">
        <v>1141</v>
      </c>
      <c r="G32" s="137"/>
      <c r="H32" s="137"/>
    </row>
    <row r="33" spans="1:8" s="103" customFormat="1" ht="87">
      <c r="A33" s="29" t="s">
        <v>308</v>
      </c>
      <c r="B33" s="33" t="s">
        <v>309</v>
      </c>
      <c r="C33" s="135" t="s">
        <v>750</v>
      </c>
      <c r="D33" s="136" t="s">
        <v>850</v>
      </c>
      <c r="E33" s="135"/>
      <c r="F33" s="135" t="s">
        <v>1141</v>
      </c>
      <c r="G33" s="137"/>
      <c r="H33" s="137"/>
    </row>
    <row r="34" spans="1:8" s="103" customFormat="1" ht="39.6">
      <c r="A34" s="29" t="s">
        <v>310</v>
      </c>
      <c r="B34" s="33" t="s">
        <v>311</v>
      </c>
      <c r="C34" s="135"/>
      <c r="D34" s="136"/>
      <c r="E34" s="135"/>
      <c r="F34" s="135" t="s">
        <v>1141</v>
      </c>
      <c r="G34" s="137"/>
      <c r="H34" s="137"/>
    </row>
    <row r="35" spans="1:8" s="103" customFormat="1" ht="52.5">
      <c r="A35" s="29" t="s">
        <v>316</v>
      </c>
      <c r="B35" s="33" t="s">
        <v>317</v>
      </c>
      <c r="C35" s="135" t="s">
        <v>851</v>
      </c>
      <c r="D35" s="136" t="s">
        <v>852</v>
      </c>
      <c r="E35" s="135"/>
      <c r="F35" s="135" t="s">
        <v>1141</v>
      </c>
      <c r="G35" s="137"/>
      <c r="H35" s="137"/>
    </row>
    <row r="36" spans="1:8" s="103" customFormat="1" ht="182.45">
      <c r="A36" s="142" t="s">
        <v>320</v>
      </c>
      <c r="B36" s="143" t="s">
        <v>1142</v>
      </c>
      <c r="C36" s="135"/>
      <c r="D36" s="136"/>
      <c r="E36" s="135"/>
      <c r="F36" s="135"/>
      <c r="G36" s="137"/>
      <c r="H36" s="137"/>
    </row>
    <row r="37" spans="1:8" s="103" customFormat="1" ht="41.1" customHeight="1">
      <c r="A37" s="142" t="s">
        <v>322</v>
      </c>
      <c r="B37" s="143" t="s">
        <v>323</v>
      </c>
      <c r="C37" s="135" t="s">
        <v>853</v>
      </c>
      <c r="D37" s="136" t="s">
        <v>854</v>
      </c>
      <c r="E37" s="135"/>
      <c r="F37" s="135"/>
      <c r="G37" s="137"/>
      <c r="H37" s="137"/>
    </row>
    <row r="38" spans="1:8" s="103" customFormat="1" ht="57.95">
      <c r="A38" s="142" t="s">
        <v>324</v>
      </c>
      <c r="B38" s="143" t="s">
        <v>325</v>
      </c>
      <c r="C38" s="135" t="s">
        <v>853</v>
      </c>
      <c r="D38" s="136" t="s">
        <v>855</v>
      </c>
      <c r="E38" s="135"/>
      <c r="F38" s="135"/>
      <c r="G38" s="137"/>
      <c r="H38" s="137"/>
    </row>
    <row r="39" spans="1:8" s="103" customFormat="1" ht="57.95">
      <c r="A39" s="142" t="s">
        <v>326</v>
      </c>
      <c r="B39" s="143" t="s">
        <v>327</v>
      </c>
      <c r="C39" s="135" t="s">
        <v>853</v>
      </c>
      <c r="D39" s="136" t="s">
        <v>856</v>
      </c>
      <c r="E39" s="135"/>
      <c r="F39" s="135"/>
      <c r="G39" s="137"/>
      <c r="H39" s="137"/>
    </row>
    <row r="40" spans="1:8" s="103" customFormat="1" ht="53.45" customHeight="1">
      <c r="A40" s="142" t="s">
        <v>328</v>
      </c>
      <c r="B40" s="143" t="s">
        <v>329</v>
      </c>
      <c r="C40" s="135"/>
      <c r="D40" s="136"/>
      <c r="E40" s="135"/>
      <c r="F40" s="135"/>
      <c r="G40" s="137"/>
      <c r="H40" s="137"/>
    </row>
    <row r="41" spans="1:8" s="103" customFormat="1" ht="59.1" customHeight="1">
      <c r="A41" s="142" t="s">
        <v>330</v>
      </c>
      <c r="B41" s="143" t="s">
        <v>331</v>
      </c>
      <c r="C41" s="135"/>
      <c r="D41" s="136"/>
      <c r="E41" s="135"/>
      <c r="F41" s="135"/>
      <c r="G41" s="137"/>
      <c r="H41" s="137"/>
    </row>
    <row r="42" spans="1:8" s="103" customFormat="1" ht="74.099999999999994" customHeight="1">
      <c r="A42" s="142" t="s">
        <v>334</v>
      </c>
      <c r="B42" s="143" t="s">
        <v>335</v>
      </c>
      <c r="C42" s="135" t="s">
        <v>853</v>
      </c>
      <c r="D42" s="136" t="s">
        <v>857</v>
      </c>
      <c r="E42" s="135"/>
      <c r="F42" s="135"/>
      <c r="G42" s="137"/>
      <c r="H42" s="137"/>
    </row>
    <row r="43" spans="1:8" s="103" customFormat="1" ht="63.6" customHeight="1">
      <c r="A43" s="142" t="s">
        <v>344</v>
      </c>
      <c r="B43" s="143" t="s">
        <v>345</v>
      </c>
      <c r="C43" s="135" t="s">
        <v>853</v>
      </c>
      <c r="D43" s="136" t="s">
        <v>858</v>
      </c>
      <c r="E43" s="135"/>
      <c r="F43" s="135"/>
      <c r="G43" s="137"/>
      <c r="H43" s="137"/>
    </row>
    <row r="44" spans="1:8" s="103" customFormat="1" ht="26.45">
      <c r="A44" s="142" t="s">
        <v>357</v>
      </c>
      <c r="B44" s="143" t="s">
        <v>358</v>
      </c>
      <c r="C44" s="135"/>
      <c r="D44" s="136"/>
      <c r="E44" s="135"/>
      <c r="F44" s="135"/>
      <c r="G44" s="137"/>
      <c r="H44" s="137"/>
    </row>
    <row r="45" spans="1:8" s="103" customFormat="1" ht="26.45">
      <c r="A45" s="142" t="s">
        <v>359</v>
      </c>
      <c r="B45" s="143" t="s">
        <v>360</v>
      </c>
      <c r="C45" s="135"/>
      <c r="D45" s="136"/>
      <c r="E45" s="135"/>
      <c r="F45" s="135"/>
      <c r="G45" s="137"/>
      <c r="H45" s="137"/>
    </row>
    <row r="46" spans="1:8" s="103" customFormat="1" ht="87">
      <c r="A46" s="142" t="s">
        <v>363</v>
      </c>
      <c r="B46" s="143" t="s">
        <v>364</v>
      </c>
      <c r="C46" s="135" t="s">
        <v>853</v>
      </c>
      <c r="D46" s="136" t="s">
        <v>861</v>
      </c>
      <c r="E46" s="135"/>
      <c r="F46" s="135"/>
      <c r="G46" s="137"/>
      <c r="H46" s="137"/>
    </row>
    <row r="47" spans="1:8" s="103" customFormat="1" ht="87">
      <c r="A47" s="142" t="s">
        <v>369</v>
      </c>
      <c r="B47" s="143" t="s">
        <v>370</v>
      </c>
      <c r="C47" s="135" t="s">
        <v>853</v>
      </c>
      <c r="D47" s="136" t="s">
        <v>862</v>
      </c>
      <c r="E47" s="135"/>
      <c r="F47" s="135"/>
      <c r="G47" s="137"/>
      <c r="H47" s="137"/>
    </row>
    <row r="48" spans="1:8" s="103" customFormat="1" ht="143.44999999999999">
      <c r="A48" s="142" t="s">
        <v>375</v>
      </c>
      <c r="B48" s="143" t="s">
        <v>1143</v>
      </c>
      <c r="C48" s="135" t="s">
        <v>853</v>
      </c>
      <c r="D48" s="136" t="s">
        <v>863</v>
      </c>
      <c r="E48" s="135"/>
      <c r="F48" s="135"/>
      <c r="G48" s="137"/>
      <c r="H48" s="137"/>
    </row>
    <row r="49" spans="1:8" s="103" customFormat="1" ht="87">
      <c r="A49" s="142" t="s">
        <v>379</v>
      </c>
      <c r="B49" s="143" t="s">
        <v>380</v>
      </c>
      <c r="C49" s="135" t="s">
        <v>853</v>
      </c>
      <c r="D49" s="136" t="s">
        <v>864</v>
      </c>
      <c r="E49" s="135"/>
      <c r="F49" s="135"/>
      <c r="G49" s="137"/>
      <c r="H49" s="137"/>
    </row>
    <row r="50" spans="1:8" s="103" customFormat="1" ht="72.599999999999994">
      <c r="A50" s="142" t="s">
        <v>385</v>
      </c>
      <c r="B50" s="143" t="s">
        <v>386</v>
      </c>
      <c r="C50" s="135" t="s">
        <v>853</v>
      </c>
      <c r="D50" s="136" t="s">
        <v>865</v>
      </c>
      <c r="E50" s="135"/>
      <c r="F50" s="135"/>
      <c r="G50" s="137"/>
      <c r="H50" s="137"/>
    </row>
    <row r="51" spans="1:8" s="103" customFormat="1" ht="53.1" customHeight="1">
      <c r="A51" s="142" t="s">
        <v>387</v>
      </c>
      <c r="B51" s="143" t="s">
        <v>388</v>
      </c>
      <c r="C51" s="135" t="s">
        <v>853</v>
      </c>
      <c r="D51" s="136" t="s">
        <v>866</v>
      </c>
      <c r="E51" s="135"/>
      <c r="F51" s="135"/>
      <c r="G51" s="137"/>
      <c r="H51" s="137"/>
    </row>
    <row r="52" spans="1:8" s="103" customFormat="1" ht="63.6" customHeight="1">
      <c r="A52" s="137"/>
      <c r="B52" s="137"/>
      <c r="C52" s="137"/>
      <c r="D52" s="137"/>
      <c r="E52" s="137"/>
      <c r="F52" s="137"/>
      <c r="G52" s="137"/>
      <c r="H52" s="137"/>
    </row>
    <row r="53" spans="1:8">
      <c r="A53" s="137"/>
      <c r="B53" s="137"/>
      <c r="C53" s="137"/>
      <c r="D53" s="137"/>
      <c r="E53" s="137"/>
      <c r="F53" s="137"/>
      <c r="G53" s="137"/>
      <c r="H53" s="137"/>
    </row>
    <row r="54" spans="1:8">
      <c r="A54" s="137"/>
      <c r="B54" s="137"/>
      <c r="C54" s="137"/>
      <c r="D54" s="137"/>
      <c r="E54" s="137"/>
      <c r="F54" s="137"/>
      <c r="G54" s="137"/>
      <c r="H54" s="137"/>
    </row>
    <row r="55" spans="1:8" s="2" customFormat="1">
      <c r="A55" s="147"/>
      <c r="B55" s="137"/>
      <c r="C55" s="137"/>
      <c r="D55" s="137"/>
      <c r="E55" s="137"/>
      <c r="F55" s="137"/>
      <c r="G55" s="137"/>
      <c r="H55" s="137"/>
    </row>
    <row r="56" spans="1:8" s="2" customFormat="1">
      <c r="A56" s="144" t="s">
        <v>1144</v>
      </c>
      <c r="B56" s="145"/>
      <c r="C56" s="134" t="s">
        <v>739</v>
      </c>
      <c r="D56" s="133" t="s">
        <v>740</v>
      </c>
      <c r="E56" s="146" t="s">
        <v>1</v>
      </c>
      <c r="F56" s="130" t="s">
        <v>1119</v>
      </c>
      <c r="G56" s="137"/>
      <c r="H56" s="137"/>
    </row>
    <row r="57" spans="1:8" s="2" customFormat="1" ht="57.95">
      <c r="A57" s="29" t="s">
        <v>416</v>
      </c>
      <c r="B57" s="33" t="s">
        <v>417</v>
      </c>
      <c r="C57" s="135" t="s">
        <v>750</v>
      </c>
      <c r="D57" s="136" t="s">
        <v>867</v>
      </c>
      <c r="E57" s="135" t="s">
        <v>868</v>
      </c>
      <c r="F57" s="135"/>
      <c r="G57" s="137"/>
      <c r="H57" s="137"/>
    </row>
    <row r="58" spans="1:8" s="2" customFormat="1" ht="57.95">
      <c r="A58" s="29" t="s">
        <v>418</v>
      </c>
      <c r="B58" s="33" t="s">
        <v>419</v>
      </c>
      <c r="C58" s="135" t="s">
        <v>750</v>
      </c>
      <c r="D58" s="136" t="s">
        <v>867</v>
      </c>
      <c r="E58" s="135" t="s">
        <v>868</v>
      </c>
      <c r="F58" s="135"/>
      <c r="G58" s="137"/>
      <c r="H58" s="137"/>
    </row>
    <row r="59" spans="1:8" s="2" customFormat="1" ht="26.1" customHeight="1">
      <c r="A59" s="29" t="s">
        <v>420</v>
      </c>
      <c r="B59" s="33" t="s">
        <v>421</v>
      </c>
      <c r="C59" s="135" t="s">
        <v>750</v>
      </c>
      <c r="D59" s="136" t="s">
        <v>869</v>
      </c>
      <c r="E59" s="135"/>
      <c r="F59" s="135"/>
      <c r="G59" s="137"/>
      <c r="H59" s="137"/>
    </row>
    <row r="60" spans="1:8" s="2" customFormat="1" ht="57.95">
      <c r="A60" s="29" t="s">
        <v>422</v>
      </c>
      <c r="B60" s="33" t="s">
        <v>423</v>
      </c>
      <c r="C60" s="135" t="s">
        <v>750</v>
      </c>
      <c r="D60" s="136" t="s">
        <v>870</v>
      </c>
      <c r="E60" s="135"/>
      <c r="F60" s="135"/>
      <c r="G60" s="137"/>
      <c r="H60" s="137"/>
    </row>
    <row r="61" spans="1:8" s="2" customFormat="1" ht="65.45">
      <c r="A61" s="29" t="s">
        <v>424</v>
      </c>
      <c r="B61" s="33" t="s">
        <v>425</v>
      </c>
      <c r="C61" s="135"/>
      <c r="D61" s="136"/>
      <c r="E61" s="135"/>
      <c r="F61" s="135"/>
      <c r="G61" s="137"/>
      <c r="H61" s="137"/>
    </row>
    <row r="62" spans="1:8" s="2" customFormat="1">
      <c r="A62" s="29" t="s">
        <v>426</v>
      </c>
      <c r="B62" s="33" t="s">
        <v>427</v>
      </c>
      <c r="C62" s="135"/>
      <c r="D62" s="136"/>
      <c r="E62" s="135"/>
      <c r="F62" s="135"/>
      <c r="G62" s="137"/>
      <c r="H62" s="137"/>
    </row>
    <row r="63" spans="1:8" s="2" customFormat="1">
      <c r="A63" s="137"/>
      <c r="B63" s="137"/>
      <c r="C63" s="137"/>
      <c r="D63" s="137"/>
      <c r="E63" s="137"/>
      <c r="F63" s="137"/>
      <c r="G63" s="137"/>
      <c r="H63" s="137"/>
    </row>
    <row r="64" spans="1:8">
      <c r="A64" s="137"/>
      <c r="B64" s="137"/>
      <c r="C64" s="137"/>
      <c r="D64" s="137"/>
      <c r="E64" s="137"/>
      <c r="F64" s="137"/>
      <c r="G64" s="137"/>
      <c r="H64" s="137"/>
    </row>
    <row r="65" spans="1:8">
      <c r="A65" s="137"/>
      <c r="B65" s="137"/>
      <c r="C65" s="137"/>
      <c r="D65" s="137"/>
      <c r="E65" s="137"/>
      <c r="F65" s="137"/>
      <c r="G65" s="137"/>
      <c r="H65" s="137"/>
    </row>
    <row r="66" spans="1:8">
      <c r="A66" s="147"/>
      <c r="B66" s="137"/>
      <c r="C66" s="137"/>
      <c r="D66" s="137"/>
      <c r="E66" s="137"/>
      <c r="F66" s="137"/>
      <c r="G66" s="137"/>
      <c r="H66" s="137"/>
    </row>
    <row r="67" spans="1:8">
      <c r="A67" s="137"/>
      <c r="B67" s="137"/>
      <c r="C67" s="137"/>
      <c r="D67" s="137"/>
      <c r="E67" s="137"/>
      <c r="F67" s="137"/>
      <c r="G67" s="137"/>
      <c r="H67" s="137"/>
    </row>
    <row r="68" spans="1:8">
      <c r="A68" s="137"/>
      <c r="B68" s="137"/>
      <c r="C68" s="137"/>
      <c r="D68" s="137"/>
      <c r="E68" s="137"/>
      <c r="F68" s="137"/>
      <c r="G68" s="137"/>
      <c r="H68" s="137"/>
    </row>
    <row r="69" spans="1:8">
      <c r="A69" s="137"/>
      <c r="B69" s="137"/>
      <c r="C69" s="137"/>
      <c r="D69" s="137"/>
      <c r="E69" s="137"/>
      <c r="F69" s="137"/>
      <c r="G69" s="137"/>
      <c r="H69" s="137"/>
    </row>
    <row r="70" spans="1:8">
      <c r="A70" s="137"/>
      <c r="B70" s="137"/>
      <c r="C70" s="137"/>
      <c r="D70" s="137"/>
      <c r="E70" s="137"/>
      <c r="F70" s="137"/>
      <c r="G70" s="137"/>
      <c r="H70" s="137"/>
    </row>
    <row r="71" spans="1:8">
      <c r="A71" s="137"/>
      <c r="B71" s="137"/>
      <c r="C71" s="137"/>
      <c r="D71" s="137"/>
      <c r="E71" s="137"/>
      <c r="F71" s="137"/>
      <c r="G71" s="137"/>
      <c r="H71" s="137"/>
    </row>
    <row r="72" spans="1:8">
      <c r="A72" s="144" t="s">
        <v>1145</v>
      </c>
      <c r="B72" s="145"/>
      <c r="C72" s="134" t="s">
        <v>739</v>
      </c>
      <c r="D72" s="133" t="s">
        <v>740</v>
      </c>
      <c r="E72" s="146" t="s">
        <v>1</v>
      </c>
      <c r="F72" s="130" t="s">
        <v>1119</v>
      </c>
      <c r="G72" s="137"/>
      <c r="H72" s="137"/>
    </row>
    <row r="73" spans="1:8">
      <c r="A73" s="29" t="s">
        <v>620</v>
      </c>
      <c r="B73" s="33" t="s">
        <v>621</v>
      </c>
      <c r="C73" s="135"/>
      <c r="D73" s="136"/>
      <c r="E73" s="135"/>
      <c r="F73" s="135"/>
      <c r="G73" s="137"/>
      <c r="H73" s="137"/>
    </row>
    <row r="74" spans="1:8" ht="26.45">
      <c r="A74" s="29" t="s">
        <v>622</v>
      </c>
      <c r="B74" s="33" t="s">
        <v>623</v>
      </c>
      <c r="C74" s="135"/>
      <c r="D74" s="136"/>
      <c r="E74" s="135"/>
      <c r="F74" s="135"/>
      <c r="G74" s="137"/>
      <c r="H74" s="137"/>
    </row>
    <row r="75" spans="1:8">
      <c r="A75" s="29" t="s">
        <v>624</v>
      </c>
      <c r="B75" s="33" t="s">
        <v>625</v>
      </c>
      <c r="C75" s="135"/>
      <c r="D75" s="136"/>
      <c r="E75" s="135"/>
      <c r="F75" s="135"/>
      <c r="G75" s="137"/>
      <c r="H75" s="137"/>
    </row>
    <row r="76" spans="1:8" ht="26.45">
      <c r="A76" s="29" t="s">
        <v>626</v>
      </c>
      <c r="B76" s="33" t="s">
        <v>627</v>
      </c>
      <c r="C76" s="135"/>
      <c r="D76" s="136"/>
      <c r="E76" s="135"/>
      <c r="F76" s="135"/>
      <c r="G76" s="137"/>
      <c r="H76" s="137"/>
    </row>
    <row r="77" spans="1:8" s="2" customFormat="1">
      <c r="A77" s="29" t="s">
        <v>628</v>
      </c>
      <c r="B77" s="33" t="s">
        <v>629</v>
      </c>
      <c r="C77" s="135"/>
      <c r="D77" s="136"/>
      <c r="E77" s="135"/>
      <c r="F77" s="135"/>
      <c r="G77" s="137"/>
      <c r="H77" s="137"/>
    </row>
    <row r="78" spans="1:8" s="2" customFormat="1">
      <c r="A78" s="29" t="s">
        <v>630</v>
      </c>
      <c r="B78" s="33" t="s">
        <v>631</v>
      </c>
      <c r="C78" s="135"/>
      <c r="D78" s="136"/>
      <c r="E78" s="135"/>
      <c r="F78" s="135"/>
      <c r="G78" s="137"/>
      <c r="H78" s="137"/>
    </row>
    <row r="79" spans="1:8" s="2" customFormat="1">
      <c r="A79" s="29" t="s">
        <v>636</v>
      </c>
      <c r="B79" s="33" t="s">
        <v>637</v>
      </c>
      <c r="C79" s="135"/>
      <c r="D79" s="136"/>
      <c r="E79" s="135"/>
      <c r="F79" s="135"/>
      <c r="G79" s="137"/>
      <c r="H79" s="137"/>
    </row>
    <row r="80" spans="1:8" s="2" customFormat="1">
      <c r="A80" s="29" t="s">
        <v>638</v>
      </c>
      <c r="B80" s="33" t="s">
        <v>639</v>
      </c>
      <c r="C80" s="135"/>
      <c r="D80" s="136"/>
      <c r="E80" s="135"/>
      <c r="F80" s="135"/>
      <c r="G80" s="137"/>
      <c r="H80" s="137"/>
    </row>
    <row r="81" spans="1:8" s="2" customFormat="1" ht="26.45">
      <c r="A81" s="29" t="s">
        <v>640</v>
      </c>
      <c r="B81" s="33" t="s">
        <v>641</v>
      </c>
      <c r="C81" s="135"/>
      <c r="D81" s="136"/>
      <c r="E81" s="135"/>
      <c r="F81" s="135"/>
      <c r="G81" s="137"/>
      <c r="H81" s="137"/>
    </row>
    <row r="82" spans="1:8">
      <c r="F82" s="2"/>
      <c r="G82" s="2"/>
      <c r="H8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2CA5A37964E3E4C929A819ABAADC55B" ma:contentTypeVersion="6" ma:contentTypeDescription="Create a new document." ma:contentTypeScope="" ma:versionID="5fa9dcebcca028319eaf0169b3cebbbd">
  <xsd:schema xmlns:xsd="http://www.w3.org/2001/XMLSchema" xmlns:xs="http://www.w3.org/2001/XMLSchema" xmlns:p="http://schemas.microsoft.com/office/2006/metadata/properties" xmlns:ns2="feb413ba-6713-40ab-974c-f8ffd899d92f" xmlns:ns3="1d1e9386-ef9b-45e5-aefa-07636025d8b5" targetNamespace="http://schemas.microsoft.com/office/2006/metadata/properties" ma:root="true" ma:fieldsID="f4973c8688ad0482e5244294b158f9e1" ns2:_="" ns3:_="">
    <xsd:import namespace="feb413ba-6713-40ab-974c-f8ffd899d92f"/>
    <xsd:import namespace="1d1e9386-ef9b-45e5-aefa-07636025d8b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b413ba-6713-40ab-974c-f8ffd899d9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1e9386-ef9b-45e5-aefa-07636025d8b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3F02BC-9F95-4A9D-AC12-5697B7D39E55}"/>
</file>

<file path=customXml/itemProps2.xml><?xml version="1.0" encoding="utf-8"?>
<ds:datastoreItem xmlns:ds="http://schemas.openxmlformats.org/officeDocument/2006/customXml" ds:itemID="{1E2B7977-354B-440C-891D-6C1105958796}"/>
</file>

<file path=customXml/itemProps3.xml><?xml version="1.0" encoding="utf-8"?>
<ds:datastoreItem xmlns:ds="http://schemas.openxmlformats.org/officeDocument/2006/customXml" ds:itemID="{CF02F094-6579-4DC0-A2F4-1E7F39A2A6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Chenwei Fan</cp:lastModifiedBy>
  <cp:revision/>
  <dcterms:created xsi:type="dcterms:W3CDTF">2006-09-16T00:00:00Z</dcterms:created>
  <dcterms:modified xsi:type="dcterms:W3CDTF">2026-01-28T08:13:46Z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0x01010022CA5A37964E3E4C929A819ABAADC55B</vt:lpwstr>
  </property>
</Properties>
</file>